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rgvieira\Documents\Caio Godoi\Atualizações TI\Julho 26\Entregáveis\"/>
    </mc:Choice>
  </mc:AlternateContent>
  <xr:revisionPtr revIDLastSave="0" documentId="13_ncr:1_{F252570A-2332-4930-BF8C-497E4BFB3347}" xr6:coauthVersionLast="47" xr6:coauthVersionMax="47" xr10:uidLastSave="{00000000-0000-0000-0000-000000000000}"/>
  <bookViews>
    <workbookView xWindow="-120" yWindow="-120" windowWidth="29040" windowHeight="15840" xr2:uid="{12EF41F6-12FF-4C3E-B5B6-34A16DBDE22E}"/>
  </bookViews>
  <sheets>
    <sheet name="VDM" sheetId="1" r:id="rId1"/>
  </sheets>
  <definedNames>
    <definedName name="_xlnm._FilterDatabase" localSheetId="0" hidden="1">VDM!$A$2:$AA$71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2" i="1"/>
  <c r="X13" i="1"/>
  <c r="X14" i="1"/>
  <c r="X15" i="1"/>
  <c r="X16" i="1"/>
  <c r="X17" i="1"/>
  <c r="X18" i="1"/>
  <c r="X48" i="1" l="1"/>
  <c r="X50" i="1"/>
  <c r="X51" i="1"/>
  <c r="X52" i="1"/>
  <c r="X53" i="1"/>
  <c r="X54" i="1"/>
  <c r="X55" i="1"/>
  <c r="X56" i="1"/>
  <c r="X57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9" i="1"/>
</calcChain>
</file>

<file path=xl/sharedStrings.xml><?xml version="1.0" encoding="utf-8"?>
<sst xmlns="http://schemas.openxmlformats.org/spreadsheetml/2006/main" count="874" uniqueCount="221">
  <si>
    <t>SP</t>
  </si>
  <si>
    <t>Rodovia</t>
  </si>
  <si>
    <t>Km</t>
  </si>
  <si>
    <t>Trecho</t>
  </si>
  <si>
    <t>Subtrecho</t>
  </si>
  <si>
    <t>Km Inicial</t>
  </si>
  <si>
    <t>Km Final</t>
  </si>
  <si>
    <t>Administrador</t>
  </si>
  <si>
    <t>Data de início da concessao</t>
  </si>
  <si>
    <t>Passeio</t>
  </si>
  <si>
    <t>Comercial</t>
  </si>
  <si>
    <t>VDM</t>
  </si>
  <si>
    <t>SP008</t>
  </si>
  <si>
    <t>Pedro Astenori Marigliani</t>
  </si>
  <si>
    <t>Bragança Paulista-Pinhalzinho</t>
  </si>
  <si>
    <t>008SPE5107</t>
  </si>
  <si>
    <t>DER</t>
  </si>
  <si>
    <t>Pinhalzinho-Socorro</t>
  </si>
  <si>
    <t>008SPE2736</t>
  </si>
  <si>
    <t>SP023</t>
  </si>
  <si>
    <t>Luiz Salomão Chama</t>
  </si>
  <si>
    <t>Franco da Rocha-Mairiporã</t>
  </si>
  <si>
    <t>023SPE1475</t>
  </si>
  <si>
    <t>SP031</t>
  </si>
  <si>
    <t>Índio Tibiriça</t>
  </si>
  <si>
    <t>Ribeirão Pires -São Bernardo do Campo</t>
  </si>
  <si>
    <t>031SPE4216</t>
  </si>
  <si>
    <t>SP046</t>
  </si>
  <si>
    <t>Oswaldo Barbosa Guisardi</t>
  </si>
  <si>
    <t>Santo Antonio do Pinhal-Taubaté</t>
  </si>
  <si>
    <t>046SPE7167</t>
  </si>
  <si>
    <t>SP052</t>
  </si>
  <si>
    <t>Hamilton Vieira Mendes</t>
  </si>
  <si>
    <t>Cachoeira Paulista-Cruzeiro</t>
  </si>
  <si>
    <t>052SPE9988</t>
  </si>
  <si>
    <t>-</t>
  </si>
  <si>
    <t>SP055</t>
  </si>
  <si>
    <t>Doutor Manoel Hypollito Rego</t>
  </si>
  <si>
    <t>Caraguatatuba-Ubatuba</t>
  </si>
  <si>
    <t>055SPE8406</t>
  </si>
  <si>
    <t>Caraguatatuba-São Sebastião</t>
  </si>
  <si>
    <t>055SPE4299</t>
  </si>
  <si>
    <t>055SPE2091</t>
  </si>
  <si>
    <t>Bertioga-São Sebastião</t>
  </si>
  <si>
    <t>055SPE3431</t>
  </si>
  <si>
    <t>Padre Manoel da Nobrega</t>
  </si>
  <si>
    <t>055SPE1511</t>
  </si>
  <si>
    <t>Concessionária</t>
  </si>
  <si>
    <t>Bertioga-Santos</t>
  </si>
  <si>
    <t>055SPE4338</t>
  </si>
  <si>
    <t>Praia Grande-São Paulo</t>
  </si>
  <si>
    <t>055SPE4843</t>
  </si>
  <si>
    <t>Itanhaem-Mongaguá</t>
  </si>
  <si>
    <t>055SPE2514</t>
  </si>
  <si>
    <t>Itanhaem-Peruíbe</t>
  </si>
  <si>
    <t>055SPE5878</t>
  </si>
  <si>
    <t>Pedro de Toledo-Peruibe</t>
  </si>
  <si>
    <t>055SPE5997</t>
  </si>
  <si>
    <t>SP056</t>
  </si>
  <si>
    <t>Prefeito Joaquim Simão</t>
  </si>
  <si>
    <t>Igaratá-Santa Isabel</t>
  </si>
  <si>
    <t>056SPE5292</t>
  </si>
  <si>
    <t>SP063</t>
  </si>
  <si>
    <t>Alkindar Monteiro Junqueira</t>
  </si>
  <si>
    <t>Bragança Paulista-Itatiba</t>
  </si>
  <si>
    <t>063SPE8888</t>
  </si>
  <si>
    <t>SP079</t>
  </si>
  <si>
    <t>Waldomiro Correa Camargo</t>
  </si>
  <si>
    <t xml:space="preserve">Itu-Sorocaba </t>
  </si>
  <si>
    <t>079SPE3279</t>
  </si>
  <si>
    <t>Sâo Paulo-Sorocaba</t>
  </si>
  <si>
    <t>079SPE3809</t>
  </si>
  <si>
    <t>Raimundo Antunes Soares</t>
  </si>
  <si>
    <t>Piedade-Votorantim</t>
  </si>
  <si>
    <t>079SPE8600</t>
  </si>
  <si>
    <t>Tenente Celestino Américo</t>
  </si>
  <si>
    <t>Juquiá-Tapiraí</t>
  </si>
  <si>
    <t>079SPE8281</t>
  </si>
  <si>
    <t>SP088</t>
  </si>
  <si>
    <t>Pedro Eroles</t>
  </si>
  <si>
    <t>Mogi das Cruzes-São Paulo</t>
  </si>
  <si>
    <t>088SPE6893</t>
  </si>
  <si>
    <t>SP097</t>
  </si>
  <si>
    <t>Emerenciano Prestes de Barros</t>
  </si>
  <si>
    <t>Porto Feliz-Sorocaba</t>
  </si>
  <si>
    <t>097SPE1973</t>
  </si>
  <si>
    <t>SP098</t>
  </si>
  <si>
    <t>Dom Paulo Rolim Loureiro</t>
  </si>
  <si>
    <t>098SPE0411</t>
  </si>
  <si>
    <t>Bertioga-Mogi das Cruzes</t>
  </si>
  <si>
    <t>098SPE2328</t>
  </si>
  <si>
    <t>SP103</t>
  </si>
  <si>
    <t>Prof:Júlio de Paula Morâes</t>
  </si>
  <si>
    <t>Caçapava-Jambeiro</t>
  </si>
  <si>
    <t>103SPE0242</t>
  </si>
  <si>
    <t>SP107</t>
  </si>
  <si>
    <t>Prefeito Aziz Lian</t>
  </si>
  <si>
    <t>Arthur Nogueira -Santo Antonio de Posse</t>
  </si>
  <si>
    <t>107SPE3298</t>
  </si>
  <si>
    <t>SP121</t>
  </si>
  <si>
    <t>Otácilio Fernandes da Silva</t>
  </si>
  <si>
    <t>Natividade da Serra-Redenção da Serra</t>
  </si>
  <si>
    <t>121SPE7452</t>
  </si>
  <si>
    <t>SP123</t>
  </si>
  <si>
    <t>Floriano Rodrigues Pinheiro</t>
  </si>
  <si>
    <t>Campos do Jordão-Taubaté</t>
  </si>
  <si>
    <t>123SPE1862</t>
  </si>
  <si>
    <t>Campos do Jordão-Pindamonhangaba</t>
  </si>
  <si>
    <t>123SPE6915</t>
  </si>
  <si>
    <t>123SPE3869</t>
  </si>
  <si>
    <t>SP125</t>
  </si>
  <si>
    <t>Oswaldo Cruz</t>
  </si>
  <si>
    <t>São Luis do Paraitinga-Taubaté</t>
  </si>
  <si>
    <t>125SPE0059</t>
  </si>
  <si>
    <t>São Luiz do Paraitinga-Taubaté</t>
  </si>
  <si>
    <t>125SPE4675</t>
  </si>
  <si>
    <t>Taubaté-Ubatuba</t>
  </si>
  <si>
    <t>125SPE1663</t>
  </si>
  <si>
    <t>SP147</t>
  </si>
  <si>
    <t>Monsenhor Clodoaldo de Paiva</t>
  </si>
  <si>
    <t>Itapira-Lindoia</t>
  </si>
  <si>
    <t>147SPE8276</t>
  </si>
  <si>
    <t>SP148</t>
  </si>
  <si>
    <t>Caminho do Mar</t>
  </si>
  <si>
    <t>Ribeirão Pires-São Bernardo Campo</t>
  </si>
  <si>
    <t>148SPE5783</t>
  </si>
  <si>
    <t>SP191</t>
  </si>
  <si>
    <t>Geraldo de Barros</t>
  </si>
  <si>
    <t>Santa Maria da Serra-São Manuel</t>
  </si>
  <si>
    <t>191SPE5954</t>
  </si>
  <si>
    <t>SP225</t>
  </si>
  <si>
    <t>Dep.Rogê Ferreira.</t>
  </si>
  <si>
    <t>Aguaí-Pirassununga</t>
  </si>
  <si>
    <t>225SPE0642</t>
  </si>
  <si>
    <t>SP270</t>
  </si>
  <si>
    <t>Raposo Tavares</t>
  </si>
  <si>
    <t>Cotia-São Paulo</t>
  </si>
  <si>
    <t>270SPE2653</t>
  </si>
  <si>
    <t>Angatuba-Itapetininga</t>
  </si>
  <si>
    <t>270SPE4379</t>
  </si>
  <si>
    <t>Itaí-Pirajú</t>
  </si>
  <si>
    <t>270SPE9720</t>
  </si>
  <si>
    <t>SP274</t>
  </si>
  <si>
    <t>Rodovia Engenheiro Renê Benedito Silva</t>
  </si>
  <si>
    <t>Itapevi-São Roque</t>
  </si>
  <si>
    <t>274SPE0521</t>
  </si>
  <si>
    <t>SP304</t>
  </si>
  <si>
    <t>Dep.Leônidas Pachêco Ferreira</t>
  </si>
  <si>
    <t>Americana-Piracicaba</t>
  </si>
  <si>
    <t>304SPE6870</t>
  </si>
  <si>
    <t>SP321</t>
  </si>
  <si>
    <t>Borborema-Novo Horizonte</t>
  </si>
  <si>
    <t>304SPE3140</t>
  </si>
  <si>
    <t>SP310</t>
  </si>
  <si>
    <t>Feliciano Salles da Cunha</t>
  </si>
  <si>
    <t>Nhandeara-São José do Rio Preto</t>
  </si>
  <si>
    <t>310SPE0208</t>
  </si>
  <si>
    <t>General Salgado-Monte Aprazível</t>
  </si>
  <si>
    <t>310SPE1472</t>
  </si>
  <si>
    <t>General Salgado-Monte Aprazivel</t>
  </si>
  <si>
    <t>310SPE5660</t>
  </si>
  <si>
    <t>Auriflama-Nhandeara</t>
  </si>
  <si>
    <t>310SPE6216</t>
  </si>
  <si>
    <t>Auriflama-Pereira Barreto</t>
  </si>
  <si>
    <t>310SPE8590</t>
  </si>
  <si>
    <t>SP320</t>
  </si>
  <si>
    <t>Euclides da Cunha</t>
  </si>
  <si>
    <t>Tanabi-Votuporanga</t>
  </si>
  <si>
    <t>320SPE3500</t>
  </si>
  <si>
    <t>Fernandópolis-Votuporanga</t>
  </si>
  <si>
    <t>320SPE0591</t>
  </si>
  <si>
    <t>Jales-Santa Fé do Sul</t>
  </si>
  <si>
    <t>320SPE4452</t>
  </si>
  <si>
    <t>Cesário José de Castilho</t>
  </si>
  <si>
    <t>Bauru-Iacanga</t>
  </si>
  <si>
    <t>321SPE7447</t>
  </si>
  <si>
    <t>SP332</t>
  </si>
  <si>
    <t>Presidente Tancredo de Almeida Neves</t>
  </si>
  <si>
    <t>Franco da Rocha-Jundiaí</t>
  </si>
  <si>
    <t>332SPE2718</t>
  </si>
  <si>
    <t>SP333</t>
  </si>
  <si>
    <t>Abrão Assed</t>
  </si>
  <si>
    <t>Cajuru-Ribeirão Preto</t>
  </si>
  <si>
    <t>333SPE6900</t>
  </si>
  <si>
    <t>SP354</t>
  </si>
  <si>
    <t>Edgar Maximo Zambotto</t>
  </si>
  <si>
    <t>Campo Limpo Paulista -Jarinu</t>
  </si>
  <si>
    <t>354SPE2194</t>
  </si>
  <si>
    <t>SP360</t>
  </si>
  <si>
    <t>Eng. Constâncio Cintra</t>
  </si>
  <si>
    <t>Amparo-Serra Negra</t>
  </si>
  <si>
    <t>360SPE3608</t>
  </si>
  <si>
    <t>Lindóia-Serra Negra</t>
  </si>
  <si>
    <t>360SPE4151</t>
  </si>
  <si>
    <t>SP425</t>
  </si>
  <si>
    <t>Rod.Assis Chateaubriand</t>
  </si>
  <si>
    <t>Barretos-Miguelópolis</t>
  </si>
  <si>
    <t>425SPE4531</t>
  </si>
  <si>
    <t>Barretos-Olimpia</t>
  </si>
  <si>
    <t>425SPE7189</t>
  </si>
  <si>
    <t>Barbosa-José Bonifâcio</t>
  </si>
  <si>
    <t>425SPE9885</t>
  </si>
  <si>
    <t>Presidente Prudente-Santopólis do Aguapeí</t>
  </si>
  <si>
    <t>425SPE0451</t>
  </si>
  <si>
    <t>Pirapozinho-Presidente Prudente</t>
  </si>
  <si>
    <t>425SPE8910</t>
  </si>
  <si>
    <t>SP461</t>
  </si>
  <si>
    <t>Otaviano Cardoso Filho</t>
  </si>
  <si>
    <t>Birigui-Nhandeara</t>
  </si>
  <si>
    <t>461SPE3769</t>
  </si>
  <si>
    <t>SP563</t>
  </si>
  <si>
    <t>Euclides de Figueiredo</t>
  </si>
  <si>
    <t>Teodoro Sampaio-Tupi Paulista</t>
  </si>
  <si>
    <t>563SPE0060</t>
  </si>
  <si>
    <t xml:space="preserve">Andradina-Tupi Paulista </t>
  </si>
  <si>
    <t>563SPE0243</t>
  </si>
  <si>
    <t>SP 324</t>
  </si>
  <si>
    <t>Miguel Melhado Campos</t>
  </si>
  <si>
    <t>Vinhedo-Itupeva</t>
  </si>
  <si>
    <t>324SPE6211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</si>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</sst>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1"/>
      <color theme="0"/>
      <name val="Segoe UI"/>
      <family val="2"/>
    </font>
    <font>
      <b/>
      <sz val="18"/>
      <color theme="0"/>
      <name val="Segoe UI"/>
      <family val="2"/>
    </font>
    <font>
      <b/>
      <sz val="11"/>
      <color theme="0"/>
      <name val="Segoe UI"/>
      <family val="2"/>
    </font>
    <font>
      <sz val="11"/>
      <name val="Segoe U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2" fillId="2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2" fillId="3" borderId="0" xfId="0" applyFont="1" applyFill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164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14" fontId="1" fillId="3" borderId="0" xfId="0" applyNumberFormat="1" applyFont="1" applyFill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3" fontId="1" fillId="4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B7352618-52C5-4AE7-99FA-B8CE121624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EB199-F7CB-4AE4-938A-2B320E74FB83}">
  <dimension ref="A1:AA71"/>
  <sheetViews>
    <sheetView tabSelected="1" topLeftCell="I1" zoomScaleNormal="100" workbookViewId="0">
      <pane ySplit="2" topLeftCell="A3" activePane="bottomLeft" state="frozen"/>
      <selection pane="bottomLeft" activeCell="Z15" sqref="Z15"/>
    </sheetView>
  </sheetViews>
  <sheetFormatPr defaultColWidth="9.125" defaultRowHeight="16.5" x14ac:dyDescent="0.3"/>
  <cols>
    <col min="1" max="1" width="7.25" style="13" bestFit="1" customWidth="1"/>
    <col min="2" max="2" width="35.375" style="10" bestFit="1" customWidth="1"/>
    <col min="3" max="3" width="8.125" style="13" bestFit="1" customWidth="1"/>
    <col min="4" max="4" width="38" style="10" bestFit="1" customWidth="1"/>
    <col min="5" max="5" width="14" style="13" bestFit="1" customWidth="1"/>
    <col min="6" max="6" width="10.25" style="10" bestFit="1" customWidth="1"/>
    <col min="7" max="7" width="12.75" style="10" bestFit="1" customWidth="1"/>
    <col min="8" max="8" width="18" style="13" bestFit="1" customWidth="1"/>
    <col min="9" max="9" width="19.75" style="15" bestFit="1" customWidth="1"/>
    <col min="10" max="10" width="11.625" style="13" customWidth="1"/>
    <col min="11" max="11" width="13.75" style="13" bestFit="1" customWidth="1"/>
    <col min="12" max="12" width="9.5" style="13" bestFit="1" customWidth="1"/>
    <col min="13" max="13" width="11.625" style="13" bestFit="1" customWidth="1"/>
    <col min="14" max="14" width="13.75" style="13" bestFit="1" customWidth="1"/>
    <col min="15" max="15" width="9.5" style="13" bestFit="1" customWidth="1"/>
    <col min="16" max="16" width="11.625" style="13" bestFit="1" customWidth="1"/>
    <col min="17" max="17" width="13.75" style="13" bestFit="1" customWidth="1"/>
    <col min="18" max="18" width="9.5" style="13" bestFit="1" customWidth="1"/>
    <col min="19" max="19" width="11.625" style="13" bestFit="1" customWidth="1"/>
    <col min="20" max="20" width="13.75" style="13" bestFit="1" customWidth="1"/>
    <col min="21" max="21" width="9.5" style="13" bestFit="1" customWidth="1"/>
    <col min="22" max="22" width="11.625" style="13" bestFit="1" customWidth="1"/>
    <col min="23" max="23" width="13.75" style="13" bestFit="1" customWidth="1"/>
    <col min="24" max="24" width="9.5" style="13" bestFit="1" customWidth="1"/>
    <col min="25" max="25" width="11.625" style="10" bestFit="1" customWidth="1"/>
    <col min="26" max="26" width="13.75" style="10" bestFit="1" customWidth="1"/>
    <col min="27" max="27" width="9.5" style="10" bestFit="1" customWidth="1"/>
    <col min="28" max="16384" width="9.125" style="10"/>
  </cols>
  <sheetData>
    <row r="1" spans="1:27" s="8" customFormat="1" ht="26.25" x14ac:dyDescent="0.3">
      <c r="A1" s="12"/>
      <c r="B1" s="1"/>
      <c r="C1" s="12"/>
      <c r="D1" s="1"/>
      <c r="E1" s="12"/>
      <c r="F1" s="1"/>
      <c r="G1" s="1"/>
      <c r="H1" s="12"/>
      <c r="I1" s="12"/>
      <c r="J1" s="23">
        <v>2020</v>
      </c>
      <c r="K1" s="23"/>
      <c r="L1" s="23"/>
      <c r="M1" s="23">
        <v>2021</v>
      </c>
      <c r="N1" s="23"/>
      <c r="O1" s="23"/>
      <c r="P1" s="23">
        <v>2022</v>
      </c>
      <c r="Q1" s="23"/>
      <c r="R1" s="23"/>
      <c r="S1" s="23">
        <v>2023</v>
      </c>
      <c r="T1" s="23"/>
      <c r="U1" s="23"/>
      <c r="V1" s="23">
        <v>2024</v>
      </c>
      <c r="W1" s="23"/>
      <c r="X1" s="23"/>
      <c r="Y1" s="23">
        <v>2025</v>
      </c>
      <c r="Z1" s="23"/>
      <c r="AA1" s="23"/>
    </row>
    <row r="2" spans="1:27" s="9" customFormat="1" ht="33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3" t="s">
        <v>11</v>
      </c>
      <c r="M2" s="3" t="s">
        <v>9</v>
      </c>
      <c r="N2" s="3" t="s">
        <v>10</v>
      </c>
      <c r="O2" s="3" t="s">
        <v>11</v>
      </c>
      <c r="P2" s="3" t="s">
        <v>9</v>
      </c>
      <c r="Q2" s="3" t="s">
        <v>10</v>
      </c>
      <c r="R2" s="3" t="s">
        <v>11</v>
      </c>
      <c r="S2" s="3" t="s">
        <v>9</v>
      </c>
      <c r="T2" s="3" t="s">
        <v>10</v>
      </c>
      <c r="U2" s="3" t="s">
        <v>11</v>
      </c>
      <c r="V2" s="3" t="s">
        <v>9</v>
      </c>
      <c r="W2" s="3" t="s">
        <v>10</v>
      </c>
      <c r="X2" s="3" t="s">
        <v>11</v>
      </c>
      <c r="Y2" s="3" t="s">
        <v>9</v>
      </c>
      <c r="Z2" s="3" t="s">
        <v>10</v>
      </c>
      <c r="AA2" s="3" t="s">
        <v>11</v>
      </c>
    </row>
    <row r="3" spans="1:27" x14ac:dyDescent="0.3">
      <c r="A3" s="7" t="s">
        <v>12</v>
      </c>
      <c r="B3" s="4" t="s">
        <v>13</v>
      </c>
      <c r="C3" s="16">
        <v>95</v>
      </c>
      <c r="D3" s="5" t="s">
        <v>14</v>
      </c>
      <c r="E3" s="7" t="s">
        <v>15</v>
      </c>
      <c r="F3" s="11">
        <v>95.033000000000001</v>
      </c>
      <c r="G3" s="11">
        <v>96.677999999999997</v>
      </c>
      <c r="H3" s="7" t="s">
        <v>16</v>
      </c>
      <c r="I3" s="14" t="s">
        <v>220</v>
      </c>
      <c r="J3" s="17">
        <v>19293</v>
      </c>
      <c r="K3" s="17">
        <v>1471</v>
      </c>
      <c r="L3" s="17">
        <v>20764</v>
      </c>
      <c r="M3" s="17">
        <v>22212</v>
      </c>
      <c r="N3" s="17">
        <v>1855</v>
      </c>
      <c r="O3" s="17">
        <v>24067</v>
      </c>
      <c r="P3" s="17">
        <v>22083</v>
      </c>
      <c r="Q3" s="17">
        <v>2105</v>
      </c>
      <c r="R3" s="17">
        <v>24188</v>
      </c>
      <c r="S3" s="17">
        <v>22512</v>
      </c>
      <c r="T3" s="17">
        <v>2061</v>
      </c>
      <c r="U3" s="18">
        <v>24573</v>
      </c>
      <c r="V3" s="19">
        <v>23138</v>
      </c>
      <c r="W3" s="19">
        <v>2049</v>
      </c>
      <c r="X3" s="18">
        <f>V3+W3</f>
        <v>25187</v>
      </c>
      <c r="Y3" s="19">
        <v>23808</v>
      </c>
      <c r="Z3" s="19">
        <v>2123</v>
      </c>
      <c r="AA3" s="19">
        <v>25931</v>
      </c>
    </row>
    <row r="4" spans="1:27" x14ac:dyDescent="0.3">
      <c r="A4" s="7" t="s">
        <v>12</v>
      </c>
      <c r="B4" s="4" t="s">
        <v>13</v>
      </c>
      <c r="C4" s="16">
        <v>139</v>
      </c>
      <c r="D4" s="5" t="s">
        <v>17</v>
      </c>
      <c r="E4" s="7" t="s">
        <v>18</v>
      </c>
      <c r="F4" s="11">
        <v>133.5</v>
      </c>
      <c r="G4" s="11">
        <v>140.09</v>
      </c>
      <c r="H4" s="7" t="s">
        <v>16</v>
      </c>
      <c r="I4" s="14" t="s">
        <v>220</v>
      </c>
      <c r="J4" s="17">
        <v>5765</v>
      </c>
      <c r="K4" s="17">
        <v>715</v>
      </c>
      <c r="L4" s="17">
        <v>6480</v>
      </c>
      <c r="M4" s="17">
        <v>5772</v>
      </c>
      <c r="N4" s="17">
        <v>748</v>
      </c>
      <c r="O4" s="17">
        <v>6520</v>
      </c>
      <c r="P4" s="17">
        <v>5423</v>
      </c>
      <c r="Q4" s="17">
        <v>764</v>
      </c>
      <c r="R4" s="17">
        <v>6187</v>
      </c>
      <c r="S4" s="17">
        <v>9804</v>
      </c>
      <c r="T4" s="17">
        <v>1035</v>
      </c>
      <c r="U4" s="18">
        <v>10839</v>
      </c>
      <c r="V4" s="19">
        <v>9897</v>
      </c>
      <c r="W4" s="19">
        <v>1046</v>
      </c>
      <c r="X4" s="18">
        <f t="shared" ref="X4:X47" si="0">V4+W4</f>
        <v>10943</v>
      </c>
      <c r="Y4" s="19">
        <v>10303</v>
      </c>
      <c r="Z4" s="19">
        <v>1006</v>
      </c>
      <c r="AA4" s="19">
        <v>11309</v>
      </c>
    </row>
    <row r="5" spans="1:27" x14ac:dyDescent="0.3">
      <c r="A5" s="7" t="s">
        <v>19</v>
      </c>
      <c r="B5" s="4" t="s">
        <v>20</v>
      </c>
      <c r="C5" s="16">
        <v>52</v>
      </c>
      <c r="D5" s="5" t="s">
        <v>21</v>
      </c>
      <c r="E5" s="7" t="s">
        <v>22</v>
      </c>
      <c r="F5" s="11">
        <v>48.3</v>
      </c>
      <c r="G5" s="11">
        <v>56.52</v>
      </c>
      <c r="H5" s="7" t="s">
        <v>16</v>
      </c>
      <c r="I5" s="14" t="s">
        <v>220</v>
      </c>
      <c r="J5" s="17">
        <v>12675</v>
      </c>
      <c r="K5" s="17">
        <v>1086</v>
      </c>
      <c r="L5" s="17">
        <v>13761</v>
      </c>
      <c r="M5" s="17">
        <v>13353</v>
      </c>
      <c r="N5" s="17">
        <v>1278</v>
      </c>
      <c r="O5" s="17">
        <v>14631</v>
      </c>
      <c r="P5" s="17">
        <v>14193</v>
      </c>
      <c r="Q5" s="17">
        <v>1671</v>
      </c>
      <c r="R5" s="17">
        <v>15864</v>
      </c>
      <c r="S5" s="17">
        <v>15694</v>
      </c>
      <c r="T5" s="17">
        <v>1975</v>
      </c>
      <c r="U5" s="17">
        <v>17669</v>
      </c>
      <c r="V5" s="19">
        <v>15758</v>
      </c>
      <c r="W5" s="19">
        <v>2241</v>
      </c>
      <c r="X5" s="18">
        <f t="shared" si="0"/>
        <v>17999</v>
      </c>
      <c r="Y5" s="19">
        <v>15940</v>
      </c>
      <c r="Z5" s="19">
        <v>2270</v>
      </c>
      <c r="AA5" s="19">
        <v>18210</v>
      </c>
    </row>
    <row r="6" spans="1:27" x14ac:dyDescent="0.3">
      <c r="A6" s="7" t="s">
        <v>23</v>
      </c>
      <c r="B6" s="4" t="s">
        <v>24</v>
      </c>
      <c r="C6" s="16">
        <v>37</v>
      </c>
      <c r="D6" s="5" t="s">
        <v>25</v>
      </c>
      <c r="E6" s="7" t="s">
        <v>26</v>
      </c>
      <c r="F6" s="11">
        <v>36.79</v>
      </c>
      <c r="G6" s="11">
        <v>39.06</v>
      </c>
      <c r="H6" s="7" t="s">
        <v>16</v>
      </c>
      <c r="I6" s="14" t="s">
        <v>220</v>
      </c>
      <c r="J6" s="17">
        <v>13776</v>
      </c>
      <c r="K6" s="17">
        <v>2419</v>
      </c>
      <c r="L6" s="17">
        <v>16195</v>
      </c>
      <c r="M6" s="17">
        <v>15440</v>
      </c>
      <c r="N6" s="17">
        <v>2656</v>
      </c>
      <c r="O6" s="17">
        <v>18096</v>
      </c>
      <c r="P6" s="17">
        <v>13182</v>
      </c>
      <c r="Q6" s="17">
        <v>2299</v>
      </c>
      <c r="R6" s="17">
        <v>15481</v>
      </c>
      <c r="S6" s="17">
        <v>16079</v>
      </c>
      <c r="T6" s="17">
        <v>2862</v>
      </c>
      <c r="U6" s="17">
        <v>18941</v>
      </c>
      <c r="V6" s="19">
        <v>16409</v>
      </c>
      <c r="W6" s="19">
        <v>2966</v>
      </c>
      <c r="X6" s="18">
        <f t="shared" si="0"/>
        <v>19375</v>
      </c>
      <c r="Y6" s="19">
        <v>16796</v>
      </c>
      <c r="Z6" s="19">
        <v>3020</v>
      </c>
      <c r="AA6" s="19">
        <v>19816</v>
      </c>
    </row>
    <row r="7" spans="1:27" x14ac:dyDescent="0.3">
      <c r="A7" s="7" t="s">
        <v>27</v>
      </c>
      <c r="B7" s="4" t="s">
        <v>28</v>
      </c>
      <c r="C7" s="16">
        <v>167</v>
      </c>
      <c r="D7" s="5" t="s">
        <v>29</v>
      </c>
      <c r="E7" s="7" t="s">
        <v>30</v>
      </c>
      <c r="F7" s="11">
        <v>166.3</v>
      </c>
      <c r="G7" s="11">
        <v>167.1</v>
      </c>
      <c r="H7" s="7" t="s">
        <v>16</v>
      </c>
      <c r="I7" s="14" t="s">
        <v>220</v>
      </c>
      <c r="J7" s="17">
        <v>4441</v>
      </c>
      <c r="K7" s="17">
        <v>160</v>
      </c>
      <c r="L7" s="17">
        <v>4601</v>
      </c>
      <c r="M7" s="17">
        <v>5042</v>
      </c>
      <c r="N7" s="17">
        <v>140</v>
      </c>
      <c r="O7" s="17">
        <v>5182</v>
      </c>
      <c r="P7" s="17">
        <v>4777</v>
      </c>
      <c r="Q7" s="17">
        <v>523</v>
      </c>
      <c r="R7" s="17">
        <v>5300</v>
      </c>
      <c r="S7" s="17">
        <v>5058</v>
      </c>
      <c r="T7" s="17">
        <v>1226</v>
      </c>
      <c r="U7" s="17">
        <v>6284</v>
      </c>
      <c r="V7" s="19">
        <v>5167</v>
      </c>
      <c r="W7" s="19">
        <v>787</v>
      </c>
      <c r="X7" s="18">
        <f t="shared" si="0"/>
        <v>5954</v>
      </c>
      <c r="Y7" s="19">
        <v>5327</v>
      </c>
      <c r="Z7" s="19">
        <v>945</v>
      </c>
      <c r="AA7" s="19">
        <v>6272</v>
      </c>
    </row>
    <row r="8" spans="1:27" x14ac:dyDescent="0.3">
      <c r="A8" s="7" t="s">
        <v>31</v>
      </c>
      <c r="B8" s="4" t="s">
        <v>32</v>
      </c>
      <c r="C8" s="7">
        <v>216</v>
      </c>
      <c r="D8" s="5" t="s">
        <v>33</v>
      </c>
      <c r="E8" s="7" t="s">
        <v>34</v>
      </c>
      <c r="F8" s="11">
        <v>211.154</v>
      </c>
      <c r="G8" s="11">
        <v>217.34</v>
      </c>
      <c r="H8" s="7" t="s">
        <v>16</v>
      </c>
      <c r="I8" s="14" t="s">
        <v>220</v>
      </c>
      <c r="J8" s="17" t="s">
        <v>35</v>
      </c>
      <c r="K8" s="17" t="s">
        <v>35</v>
      </c>
      <c r="L8" s="17" t="s">
        <v>35</v>
      </c>
      <c r="M8" s="17" t="s">
        <v>35</v>
      </c>
      <c r="N8" s="17" t="s">
        <v>35</v>
      </c>
      <c r="O8" s="17" t="s">
        <v>35</v>
      </c>
      <c r="P8" s="17" t="s">
        <v>35</v>
      </c>
      <c r="Q8" s="17" t="s">
        <v>35</v>
      </c>
      <c r="R8" s="17" t="s">
        <v>35</v>
      </c>
      <c r="S8" s="17" t="s">
        <v>35</v>
      </c>
      <c r="T8" s="17" t="s">
        <v>35</v>
      </c>
      <c r="U8" s="17" t="s">
        <v>35</v>
      </c>
      <c r="V8" s="19">
        <v>9137</v>
      </c>
      <c r="W8" s="19">
        <v>1591</v>
      </c>
      <c r="X8" s="18">
        <f t="shared" si="0"/>
        <v>10728</v>
      </c>
      <c r="Y8" s="19">
        <v>9561</v>
      </c>
      <c r="Z8" s="19">
        <v>1672</v>
      </c>
      <c r="AA8" s="19">
        <v>11233</v>
      </c>
    </row>
    <row r="9" spans="1:27" x14ac:dyDescent="0.3">
      <c r="A9" s="7" t="s">
        <v>36</v>
      </c>
      <c r="B9" s="4" t="s">
        <v>37</v>
      </c>
      <c r="C9" s="7">
        <v>94</v>
      </c>
      <c r="D9" s="5" t="s">
        <v>38</v>
      </c>
      <c r="E9" s="7" t="s">
        <v>39</v>
      </c>
      <c r="F9" s="11">
        <v>89.1</v>
      </c>
      <c r="G9" s="11">
        <v>99.63</v>
      </c>
      <c r="H9" s="7" t="s">
        <v>16</v>
      </c>
      <c r="I9" s="14" t="s">
        <v>220</v>
      </c>
      <c r="J9" s="17">
        <v>16900</v>
      </c>
      <c r="K9" s="17">
        <v>1132</v>
      </c>
      <c r="L9" s="17">
        <v>18032</v>
      </c>
      <c r="M9" s="17">
        <v>17892</v>
      </c>
      <c r="N9" s="17">
        <v>1495</v>
      </c>
      <c r="O9" s="17">
        <v>19387</v>
      </c>
      <c r="P9" s="17">
        <v>18466</v>
      </c>
      <c r="Q9" s="17">
        <v>1554</v>
      </c>
      <c r="R9" s="17">
        <v>20020</v>
      </c>
      <c r="S9" s="17">
        <v>19750</v>
      </c>
      <c r="T9" s="17">
        <v>1521</v>
      </c>
      <c r="U9" s="17">
        <v>21271</v>
      </c>
      <c r="V9" s="19">
        <v>20430</v>
      </c>
      <c r="W9" s="19">
        <v>1519</v>
      </c>
      <c r="X9" s="18">
        <f t="shared" si="0"/>
        <v>21949</v>
      </c>
      <c r="Y9" s="19">
        <v>21239</v>
      </c>
      <c r="Z9" s="19">
        <v>1563</v>
      </c>
      <c r="AA9" s="19">
        <v>22802</v>
      </c>
    </row>
    <row r="10" spans="1:27" x14ac:dyDescent="0.3">
      <c r="A10" s="7" t="s">
        <v>36</v>
      </c>
      <c r="B10" s="4" t="s">
        <v>37</v>
      </c>
      <c r="C10" s="7">
        <v>111</v>
      </c>
      <c r="D10" s="5" t="s">
        <v>40</v>
      </c>
      <c r="E10" s="7" t="s">
        <v>41</v>
      </c>
      <c r="F10" s="11">
        <v>102.3</v>
      </c>
      <c r="G10" s="11">
        <v>112.55</v>
      </c>
      <c r="H10" s="7" t="s">
        <v>16</v>
      </c>
      <c r="I10" s="14" t="s">
        <v>220</v>
      </c>
      <c r="J10" s="17" t="s">
        <v>35</v>
      </c>
      <c r="K10" s="17" t="s">
        <v>35</v>
      </c>
      <c r="L10" s="17" t="s">
        <v>35</v>
      </c>
      <c r="M10" s="17" t="s">
        <v>35</v>
      </c>
      <c r="N10" s="17" t="s">
        <v>35</v>
      </c>
      <c r="O10" s="17" t="s">
        <v>35</v>
      </c>
      <c r="P10" s="17" t="s">
        <v>35</v>
      </c>
      <c r="Q10" s="17" t="s">
        <v>35</v>
      </c>
      <c r="R10" s="17" t="s">
        <v>35</v>
      </c>
      <c r="S10" s="17" t="s">
        <v>35</v>
      </c>
      <c r="T10" s="17" t="s">
        <v>35</v>
      </c>
      <c r="U10" s="17" t="s">
        <v>35</v>
      </c>
      <c r="V10" s="19">
        <v>16473</v>
      </c>
      <c r="W10" s="19">
        <v>1620</v>
      </c>
      <c r="X10" s="18">
        <f t="shared" ref="X10" si="1">V10+W10</f>
        <v>18093</v>
      </c>
      <c r="Y10" s="19">
        <v>18991</v>
      </c>
      <c r="Z10" s="19">
        <v>2143</v>
      </c>
      <c r="AA10" s="19">
        <v>21134</v>
      </c>
    </row>
    <row r="11" spans="1:27" x14ac:dyDescent="0.3">
      <c r="A11" s="7" t="s">
        <v>36</v>
      </c>
      <c r="B11" s="4" t="s">
        <v>37</v>
      </c>
      <c r="C11" s="7">
        <v>117</v>
      </c>
      <c r="D11" s="5" t="s">
        <v>40</v>
      </c>
      <c r="E11" s="7" t="s">
        <v>41</v>
      </c>
      <c r="F11" s="11">
        <v>102.3</v>
      </c>
      <c r="G11" s="11">
        <v>112.55</v>
      </c>
      <c r="H11" s="7" t="s">
        <v>16</v>
      </c>
      <c r="I11" s="14" t="s">
        <v>220</v>
      </c>
      <c r="J11" s="17">
        <v>13139</v>
      </c>
      <c r="K11" s="17">
        <v>1182</v>
      </c>
      <c r="L11" s="17">
        <v>14321</v>
      </c>
      <c r="M11" s="17">
        <v>14998</v>
      </c>
      <c r="N11" s="17">
        <v>1426</v>
      </c>
      <c r="O11" s="17">
        <v>16424</v>
      </c>
      <c r="P11" s="17">
        <v>16336</v>
      </c>
      <c r="Q11" s="17">
        <v>1572</v>
      </c>
      <c r="R11" s="17">
        <v>17908</v>
      </c>
      <c r="S11" s="17" t="s">
        <v>35</v>
      </c>
      <c r="T11" s="17" t="s">
        <v>35</v>
      </c>
      <c r="U11" s="17" t="s">
        <v>35</v>
      </c>
      <c r="V11" s="17" t="s">
        <v>35</v>
      </c>
      <c r="W11" s="17" t="s">
        <v>35</v>
      </c>
      <c r="X11" s="17" t="s">
        <v>35</v>
      </c>
      <c r="Y11" s="17" t="s">
        <v>35</v>
      </c>
      <c r="Z11" s="17" t="s">
        <v>35</v>
      </c>
      <c r="AA11" s="17" t="s">
        <v>35</v>
      </c>
    </row>
    <row r="12" spans="1:27" x14ac:dyDescent="0.3">
      <c r="A12" s="7" t="s">
        <v>36</v>
      </c>
      <c r="B12" s="4" t="s">
        <v>37</v>
      </c>
      <c r="C12" s="7">
        <v>136</v>
      </c>
      <c r="D12" s="5" t="s">
        <v>40</v>
      </c>
      <c r="E12" s="7" t="s">
        <v>42</v>
      </c>
      <c r="F12" s="11">
        <v>130</v>
      </c>
      <c r="G12" s="11">
        <v>154.01499999999999</v>
      </c>
      <c r="H12" s="7" t="s">
        <v>16</v>
      </c>
      <c r="I12" s="14" t="s">
        <v>220</v>
      </c>
      <c r="J12" s="17">
        <v>4658</v>
      </c>
      <c r="K12" s="17">
        <v>420</v>
      </c>
      <c r="L12" s="17">
        <v>5078</v>
      </c>
      <c r="M12" s="17">
        <v>5012</v>
      </c>
      <c r="N12" s="17">
        <v>516</v>
      </c>
      <c r="O12" s="17">
        <v>5528</v>
      </c>
      <c r="P12" s="17">
        <v>4962</v>
      </c>
      <c r="Q12" s="17">
        <v>550</v>
      </c>
      <c r="R12" s="17">
        <v>5512</v>
      </c>
      <c r="S12" s="17">
        <v>4998</v>
      </c>
      <c r="T12" s="17">
        <v>573</v>
      </c>
      <c r="U12" s="17">
        <v>5571</v>
      </c>
      <c r="V12" s="19">
        <v>5071</v>
      </c>
      <c r="W12" s="19">
        <v>613</v>
      </c>
      <c r="X12" s="18">
        <f t="shared" si="0"/>
        <v>5684</v>
      </c>
      <c r="Y12" s="19">
        <v>5541</v>
      </c>
      <c r="Z12" s="19">
        <v>602</v>
      </c>
      <c r="AA12" s="19">
        <v>6143</v>
      </c>
    </row>
    <row r="13" spans="1:27" x14ac:dyDescent="0.3">
      <c r="A13" s="7" t="s">
        <v>36</v>
      </c>
      <c r="B13" s="4" t="s">
        <v>37</v>
      </c>
      <c r="C13" s="7">
        <v>211</v>
      </c>
      <c r="D13" s="5" t="s">
        <v>43</v>
      </c>
      <c r="E13" s="7" t="s">
        <v>44</v>
      </c>
      <c r="F13" s="11">
        <v>191.4</v>
      </c>
      <c r="G13" s="11">
        <v>211.4</v>
      </c>
      <c r="H13" s="7" t="s">
        <v>16</v>
      </c>
      <c r="I13" s="14" t="s">
        <v>220</v>
      </c>
      <c r="J13" s="17">
        <v>12759</v>
      </c>
      <c r="K13" s="17">
        <v>309</v>
      </c>
      <c r="L13" s="17">
        <v>13068</v>
      </c>
      <c r="M13" s="17">
        <v>14331</v>
      </c>
      <c r="N13" s="17">
        <v>1075</v>
      </c>
      <c r="O13" s="17">
        <v>15406</v>
      </c>
      <c r="P13" s="17">
        <v>13127</v>
      </c>
      <c r="Q13" s="17">
        <v>1090</v>
      </c>
      <c r="R13" s="17">
        <v>14217</v>
      </c>
      <c r="S13" s="17">
        <v>13525</v>
      </c>
      <c r="T13" s="17">
        <v>1139</v>
      </c>
      <c r="U13" s="17">
        <v>14664</v>
      </c>
      <c r="V13" s="19">
        <v>13846</v>
      </c>
      <c r="W13" s="19">
        <v>1161</v>
      </c>
      <c r="X13" s="18">
        <f t="shared" si="0"/>
        <v>15007</v>
      </c>
      <c r="Y13" s="19">
        <v>15525</v>
      </c>
      <c r="Z13" s="19">
        <v>1163</v>
      </c>
      <c r="AA13" s="19">
        <v>16688</v>
      </c>
    </row>
    <row r="14" spans="1:27" x14ac:dyDescent="0.3">
      <c r="A14" s="7" t="s">
        <v>36</v>
      </c>
      <c r="B14" s="4" t="s">
        <v>45</v>
      </c>
      <c r="C14" s="7">
        <v>214</v>
      </c>
      <c r="D14" s="6" t="s">
        <v>43</v>
      </c>
      <c r="E14" s="7" t="s">
        <v>46</v>
      </c>
      <c r="F14" s="11">
        <v>211.4</v>
      </c>
      <c r="G14" s="11">
        <v>214.65</v>
      </c>
      <c r="H14" s="7" t="s">
        <v>47</v>
      </c>
      <c r="I14" s="14">
        <v>45597</v>
      </c>
      <c r="J14" s="17">
        <v>22061</v>
      </c>
      <c r="K14" s="17">
        <v>1729</v>
      </c>
      <c r="L14" s="17">
        <v>23790</v>
      </c>
      <c r="M14" s="17">
        <v>23697</v>
      </c>
      <c r="N14" s="17">
        <v>2078</v>
      </c>
      <c r="O14" s="17">
        <v>25775</v>
      </c>
      <c r="P14" s="17">
        <v>22723</v>
      </c>
      <c r="Q14" s="17">
        <v>1944</v>
      </c>
      <c r="R14" s="17">
        <v>24667</v>
      </c>
      <c r="S14" s="17">
        <v>20731</v>
      </c>
      <c r="T14" s="17">
        <v>2081</v>
      </c>
      <c r="U14" s="17">
        <v>22812</v>
      </c>
      <c r="V14" s="19">
        <v>23682</v>
      </c>
      <c r="W14" s="19">
        <v>2231</v>
      </c>
      <c r="X14" s="18">
        <f t="shared" si="0"/>
        <v>25913</v>
      </c>
      <c r="Y14" s="17" t="s">
        <v>35</v>
      </c>
      <c r="Z14" s="17" t="s">
        <v>35</v>
      </c>
      <c r="AA14" s="17" t="s">
        <v>35</v>
      </c>
    </row>
    <row r="15" spans="1:27" x14ac:dyDescent="0.3">
      <c r="A15" s="7" t="s">
        <v>36</v>
      </c>
      <c r="B15" s="4" t="s">
        <v>37</v>
      </c>
      <c r="C15" s="7">
        <v>246</v>
      </c>
      <c r="D15" s="6" t="s">
        <v>48</v>
      </c>
      <c r="E15" s="7" t="s">
        <v>49</v>
      </c>
      <c r="F15" s="11">
        <v>233.4</v>
      </c>
      <c r="G15" s="11">
        <v>248.1</v>
      </c>
      <c r="H15" s="7" t="s">
        <v>47</v>
      </c>
      <c r="I15" s="14">
        <v>45597</v>
      </c>
      <c r="J15" s="17">
        <v>12092</v>
      </c>
      <c r="K15" s="17">
        <v>947</v>
      </c>
      <c r="L15" s="17">
        <v>13039</v>
      </c>
      <c r="M15" s="17">
        <v>13335</v>
      </c>
      <c r="N15" s="17">
        <v>1114</v>
      </c>
      <c r="O15" s="17">
        <v>14449</v>
      </c>
      <c r="P15" s="17">
        <v>12610</v>
      </c>
      <c r="Q15" s="17">
        <v>1241</v>
      </c>
      <c r="R15" s="17">
        <v>13851</v>
      </c>
      <c r="S15" s="17">
        <v>12871</v>
      </c>
      <c r="T15" s="17">
        <v>1331</v>
      </c>
      <c r="U15" s="17">
        <v>14202</v>
      </c>
      <c r="V15" s="19">
        <v>12934</v>
      </c>
      <c r="W15" s="19">
        <v>1419</v>
      </c>
      <c r="X15" s="18">
        <f t="shared" si="0"/>
        <v>14353</v>
      </c>
      <c r="Y15" s="17" t="s">
        <v>35</v>
      </c>
      <c r="Z15" s="17" t="s">
        <v>35</v>
      </c>
      <c r="AA15" s="17" t="s">
        <v>35</v>
      </c>
    </row>
    <row r="16" spans="1:27" x14ac:dyDescent="0.3">
      <c r="A16" s="7" t="s">
        <v>36</v>
      </c>
      <c r="B16" s="4" t="s">
        <v>20</v>
      </c>
      <c r="C16" s="7">
        <v>293</v>
      </c>
      <c r="D16" s="6" t="s">
        <v>50</v>
      </c>
      <c r="E16" s="7" t="s">
        <v>51</v>
      </c>
      <c r="F16" s="11">
        <v>292.2</v>
      </c>
      <c r="G16" s="11">
        <v>302.77</v>
      </c>
      <c r="H16" s="7" t="s">
        <v>47</v>
      </c>
      <c r="I16" s="14">
        <v>45597</v>
      </c>
      <c r="J16" s="17">
        <v>42587</v>
      </c>
      <c r="K16" s="17">
        <v>3264</v>
      </c>
      <c r="L16" s="17">
        <v>45851</v>
      </c>
      <c r="M16" s="17">
        <v>57031</v>
      </c>
      <c r="N16" s="17">
        <v>3350</v>
      </c>
      <c r="O16" s="17">
        <v>60381</v>
      </c>
      <c r="P16" s="17">
        <v>43817</v>
      </c>
      <c r="Q16" s="17">
        <v>3859</v>
      </c>
      <c r="R16" s="17">
        <v>47676</v>
      </c>
      <c r="S16" s="17">
        <v>46633</v>
      </c>
      <c r="T16" s="17">
        <v>3813</v>
      </c>
      <c r="U16" s="17">
        <v>50446</v>
      </c>
      <c r="V16" s="19">
        <v>46427</v>
      </c>
      <c r="W16" s="19">
        <v>3821</v>
      </c>
      <c r="X16" s="18">
        <f t="shared" si="0"/>
        <v>50248</v>
      </c>
      <c r="Y16" s="17" t="s">
        <v>35</v>
      </c>
      <c r="Z16" s="17" t="s">
        <v>35</v>
      </c>
      <c r="AA16" s="17" t="s">
        <v>35</v>
      </c>
    </row>
    <row r="17" spans="1:27" x14ac:dyDescent="0.3">
      <c r="A17" s="7" t="s">
        <v>36</v>
      </c>
      <c r="B17" s="4" t="s">
        <v>45</v>
      </c>
      <c r="C17" s="7">
        <v>311</v>
      </c>
      <c r="D17" s="6" t="s">
        <v>52</v>
      </c>
      <c r="E17" s="7" t="s">
        <v>53</v>
      </c>
      <c r="F17" s="11">
        <v>304.16000000000003</v>
      </c>
      <c r="G17" s="11">
        <v>315.07</v>
      </c>
      <c r="H17" s="7" t="s">
        <v>47</v>
      </c>
      <c r="I17" s="14">
        <v>45597</v>
      </c>
      <c r="J17" s="17">
        <v>31253</v>
      </c>
      <c r="K17" s="17">
        <v>3984</v>
      </c>
      <c r="L17" s="17">
        <v>35237</v>
      </c>
      <c r="M17" s="17">
        <v>32012</v>
      </c>
      <c r="N17" s="17">
        <v>4081</v>
      </c>
      <c r="O17" s="17">
        <v>36093</v>
      </c>
      <c r="P17" s="17">
        <v>32231</v>
      </c>
      <c r="Q17" s="17">
        <v>4109</v>
      </c>
      <c r="R17" s="17">
        <v>36340</v>
      </c>
      <c r="S17" s="17">
        <v>33790</v>
      </c>
      <c r="T17" s="17">
        <v>4308</v>
      </c>
      <c r="U17" s="17">
        <v>38098</v>
      </c>
      <c r="V17" s="19">
        <v>41146</v>
      </c>
      <c r="W17" s="19">
        <v>3803</v>
      </c>
      <c r="X17" s="18">
        <f t="shared" si="0"/>
        <v>44949</v>
      </c>
      <c r="Y17" s="17" t="s">
        <v>35</v>
      </c>
      <c r="Z17" s="17" t="s">
        <v>35</v>
      </c>
      <c r="AA17" s="17" t="s">
        <v>35</v>
      </c>
    </row>
    <row r="18" spans="1:27" x14ac:dyDescent="0.3">
      <c r="A18" s="7" t="s">
        <v>36</v>
      </c>
      <c r="B18" s="4" t="s">
        <v>45</v>
      </c>
      <c r="C18" s="7">
        <v>344</v>
      </c>
      <c r="D18" s="6" t="s">
        <v>54</v>
      </c>
      <c r="E18" s="7" t="s">
        <v>55</v>
      </c>
      <c r="F18" s="11">
        <v>344</v>
      </c>
      <c r="G18" s="11">
        <v>345.05</v>
      </c>
      <c r="H18" s="7" t="s">
        <v>47</v>
      </c>
      <c r="I18" s="14">
        <v>45597</v>
      </c>
      <c r="J18" s="17">
        <v>15238</v>
      </c>
      <c r="K18" s="17">
        <v>2326</v>
      </c>
      <c r="L18" s="17">
        <v>17564</v>
      </c>
      <c r="M18" s="17">
        <v>16284</v>
      </c>
      <c r="N18" s="17">
        <v>2498</v>
      </c>
      <c r="O18" s="17">
        <v>18782</v>
      </c>
      <c r="P18" s="17">
        <v>16209</v>
      </c>
      <c r="Q18" s="17">
        <v>2568</v>
      </c>
      <c r="R18" s="17">
        <v>18777</v>
      </c>
      <c r="S18" s="17">
        <v>17683</v>
      </c>
      <c r="T18" s="17">
        <v>2634</v>
      </c>
      <c r="U18" s="17">
        <v>20317</v>
      </c>
      <c r="V18" s="19">
        <v>16837</v>
      </c>
      <c r="W18" s="19">
        <v>2546</v>
      </c>
      <c r="X18" s="18">
        <f t="shared" si="0"/>
        <v>19383</v>
      </c>
      <c r="Y18" s="17" t="s">
        <v>35</v>
      </c>
      <c r="Z18" s="17" t="s">
        <v>35</v>
      </c>
      <c r="AA18" s="17" t="s">
        <v>35</v>
      </c>
    </row>
    <row r="19" spans="1:27" x14ac:dyDescent="0.3">
      <c r="A19" s="7" t="s">
        <v>36</v>
      </c>
      <c r="B19" s="4" t="s">
        <v>45</v>
      </c>
      <c r="C19" s="7">
        <v>371</v>
      </c>
      <c r="D19" s="6" t="s">
        <v>56</v>
      </c>
      <c r="E19" s="7" t="s">
        <v>57</v>
      </c>
      <c r="F19" s="11">
        <v>369.87</v>
      </c>
      <c r="G19" s="11">
        <v>373.57</v>
      </c>
      <c r="H19" s="7" t="s">
        <v>47</v>
      </c>
      <c r="I19" s="14">
        <v>45597</v>
      </c>
      <c r="J19" s="17">
        <v>5383</v>
      </c>
      <c r="K19" s="17">
        <v>1522</v>
      </c>
      <c r="L19" s="17">
        <v>6905</v>
      </c>
      <c r="M19" s="17">
        <v>5306</v>
      </c>
      <c r="N19" s="17">
        <v>1639</v>
      </c>
      <c r="O19" s="17">
        <v>6945</v>
      </c>
      <c r="P19" s="17">
        <v>5640</v>
      </c>
      <c r="Q19" s="17">
        <v>1715</v>
      </c>
      <c r="R19" s="17">
        <v>7355</v>
      </c>
      <c r="S19" s="17">
        <v>6053</v>
      </c>
      <c r="T19" s="17">
        <v>1707</v>
      </c>
      <c r="U19" s="17">
        <v>7760</v>
      </c>
      <c r="V19" s="19">
        <v>6008</v>
      </c>
      <c r="W19" s="19">
        <v>1763</v>
      </c>
      <c r="X19" s="18">
        <f t="shared" si="0"/>
        <v>7771</v>
      </c>
      <c r="Y19" s="17" t="s">
        <v>35</v>
      </c>
      <c r="Z19" s="17" t="s">
        <v>35</v>
      </c>
      <c r="AA19" s="17" t="s">
        <v>35</v>
      </c>
    </row>
    <row r="20" spans="1:27" x14ac:dyDescent="0.3">
      <c r="A20" s="7" t="s">
        <v>58</v>
      </c>
      <c r="B20" s="4" t="s">
        <v>59</v>
      </c>
      <c r="C20" s="7">
        <v>66</v>
      </c>
      <c r="D20" s="5" t="s">
        <v>60</v>
      </c>
      <c r="E20" s="7" t="s">
        <v>61</v>
      </c>
      <c r="F20" s="11">
        <v>60.9</v>
      </c>
      <c r="G20" s="11">
        <v>75</v>
      </c>
      <c r="H20" s="7" t="s">
        <v>16</v>
      </c>
      <c r="I20" s="14" t="s">
        <v>220</v>
      </c>
      <c r="J20" s="17" t="s">
        <v>35</v>
      </c>
      <c r="K20" s="17" t="s">
        <v>35</v>
      </c>
      <c r="L20" s="17" t="s">
        <v>35</v>
      </c>
      <c r="M20" s="17" t="s">
        <v>35</v>
      </c>
      <c r="N20" s="17" t="s">
        <v>35</v>
      </c>
      <c r="O20" s="17" t="s">
        <v>35</v>
      </c>
      <c r="P20" s="17" t="s">
        <v>35</v>
      </c>
      <c r="Q20" s="17" t="s">
        <v>35</v>
      </c>
      <c r="R20" s="17" t="s">
        <v>35</v>
      </c>
      <c r="S20" s="17" t="s">
        <v>35</v>
      </c>
      <c r="T20" s="17" t="s">
        <v>35</v>
      </c>
      <c r="U20" s="17" t="s">
        <v>35</v>
      </c>
      <c r="V20" s="19">
        <v>4157</v>
      </c>
      <c r="W20" s="19">
        <v>395</v>
      </c>
      <c r="X20" s="18">
        <f t="shared" si="0"/>
        <v>4552</v>
      </c>
      <c r="Y20" s="19">
        <v>4295</v>
      </c>
      <c r="Z20" s="19">
        <v>389</v>
      </c>
      <c r="AA20" s="19">
        <v>4684</v>
      </c>
    </row>
    <row r="21" spans="1:27" x14ac:dyDescent="0.3">
      <c r="A21" s="7" t="s">
        <v>62</v>
      </c>
      <c r="B21" s="4" t="s">
        <v>63</v>
      </c>
      <c r="C21" s="7">
        <v>28</v>
      </c>
      <c r="D21" s="5" t="s">
        <v>64</v>
      </c>
      <c r="E21" s="7" t="s">
        <v>65</v>
      </c>
      <c r="F21" s="11">
        <v>24.8</v>
      </c>
      <c r="G21" s="11">
        <v>33.99</v>
      </c>
      <c r="H21" s="7" t="s">
        <v>16</v>
      </c>
      <c r="I21" s="14" t="s">
        <v>220</v>
      </c>
      <c r="J21" s="17">
        <v>5168</v>
      </c>
      <c r="K21" s="17">
        <v>965</v>
      </c>
      <c r="L21" s="17">
        <v>6133</v>
      </c>
      <c r="M21" s="17">
        <v>5607</v>
      </c>
      <c r="N21" s="17">
        <v>1267</v>
      </c>
      <c r="O21" s="17">
        <v>6874</v>
      </c>
      <c r="P21" s="17">
        <v>16331</v>
      </c>
      <c r="Q21" s="17">
        <v>2237</v>
      </c>
      <c r="R21" s="17">
        <v>18568</v>
      </c>
      <c r="S21" s="17">
        <v>17623</v>
      </c>
      <c r="T21" s="17">
        <v>2270</v>
      </c>
      <c r="U21" s="17">
        <v>19893</v>
      </c>
      <c r="V21" s="19">
        <v>17804</v>
      </c>
      <c r="W21" s="19">
        <v>2319</v>
      </c>
      <c r="X21" s="18">
        <f t="shared" si="0"/>
        <v>20123</v>
      </c>
      <c r="Y21" s="19">
        <v>18378</v>
      </c>
      <c r="Z21" s="19">
        <v>2465</v>
      </c>
      <c r="AA21" s="19">
        <v>20843</v>
      </c>
    </row>
    <row r="22" spans="1:27" x14ac:dyDescent="0.3">
      <c r="A22" s="7" t="s">
        <v>66</v>
      </c>
      <c r="B22" s="4" t="s">
        <v>67</v>
      </c>
      <c r="C22" s="7">
        <v>56</v>
      </c>
      <c r="D22" s="5" t="s">
        <v>68</v>
      </c>
      <c r="E22" s="7" t="s">
        <v>69</v>
      </c>
      <c r="F22" s="11">
        <v>47.58</v>
      </c>
      <c r="G22" s="11">
        <v>60.5</v>
      </c>
      <c r="H22" s="7" t="s">
        <v>16</v>
      </c>
      <c r="I22" s="14" t="s">
        <v>220</v>
      </c>
      <c r="J22" s="17">
        <v>13799</v>
      </c>
      <c r="K22" s="17">
        <v>1102</v>
      </c>
      <c r="L22" s="17">
        <v>14901</v>
      </c>
      <c r="M22" s="17">
        <v>15201</v>
      </c>
      <c r="N22" s="17">
        <v>1646</v>
      </c>
      <c r="O22" s="17">
        <v>16847</v>
      </c>
      <c r="P22" s="17">
        <v>15868</v>
      </c>
      <c r="Q22" s="17">
        <v>1764</v>
      </c>
      <c r="R22" s="17">
        <v>17632</v>
      </c>
      <c r="S22" s="17">
        <v>16088</v>
      </c>
      <c r="T22" s="17">
        <v>1626</v>
      </c>
      <c r="U22" s="17">
        <v>17714</v>
      </c>
      <c r="V22" s="19">
        <v>16636</v>
      </c>
      <c r="W22" s="19">
        <v>1642</v>
      </c>
      <c r="X22" s="18">
        <f t="shared" si="0"/>
        <v>18278</v>
      </c>
      <c r="Y22" s="19">
        <v>16367</v>
      </c>
      <c r="Z22" s="19">
        <v>1600</v>
      </c>
      <c r="AA22" s="19">
        <v>17967</v>
      </c>
    </row>
    <row r="23" spans="1:27" x14ac:dyDescent="0.3">
      <c r="A23" s="7" t="s">
        <v>66</v>
      </c>
      <c r="B23" s="4" t="s">
        <v>67</v>
      </c>
      <c r="C23" s="7">
        <v>68</v>
      </c>
      <c r="D23" s="5" t="s">
        <v>70</v>
      </c>
      <c r="E23" s="7" t="s">
        <v>71</v>
      </c>
      <c r="F23" s="11">
        <v>67.099999999999994</v>
      </c>
      <c r="G23" s="11">
        <v>70.7</v>
      </c>
      <c r="H23" s="7" t="s">
        <v>16</v>
      </c>
      <c r="I23" s="14" t="s">
        <v>220</v>
      </c>
      <c r="J23" s="17">
        <v>14487</v>
      </c>
      <c r="K23" s="17">
        <v>1389</v>
      </c>
      <c r="L23" s="17">
        <v>15876</v>
      </c>
      <c r="M23" s="17">
        <v>17413</v>
      </c>
      <c r="N23" s="17">
        <v>2298</v>
      </c>
      <c r="O23" s="17">
        <v>19711</v>
      </c>
      <c r="P23" s="17">
        <v>17343</v>
      </c>
      <c r="Q23" s="17">
        <v>2011</v>
      </c>
      <c r="R23" s="17">
        <v>19354</v>
      </c>
      <c r="S23" s="17">
        <v>18262</v>
      </c>
      <c r="T23" s="17">
        <v>1907</v>
      </c>
      <c r="U23" s="17">
        <v>20169</v>
      </c>
      <c r="V23" s="19">
        <v>19737</v>
      </c>
      <c r="W23" s="19">
        <v>1958</v>
      </c>
      <c r="X23" s="18">
        <f t="shared" si="0"/>
        <v>21695</v>
      </c>
      <c r="Y23" s="19">
        <v>20653</v>
      </c>
      <c r="Z23" s="19">
        <v>1997</v>
      </c>
      <c r="AA23" s="19">
        <v>22650</v>
      </c>
    </row>
    <row r="24" spans="1:27" x14ac:dyDescent="0.3">
      <c r="A24" s="7" t="s">
        <v>66</v>
      </c>
      <c r="B24" s="4" t="s">
        <v>72</v>
      </c>
      <c r="C24" s="16">
        <v>105</v>
      </c>
      <c r="D24" s="6" t="s">
        <v>73</v>
      </c>
      <c r="E24" s="7" t="s">
        <v>74</v>
      </c>
      <c r="F24" s="11">
        <v>103.9</v>
      </c>
      <c r="G24" s="11">
        <v>106.14</v>
      </c>
      <c r="H24" s="7" t="s">
        <v>47</v>
      </c>
      <c r="I24" s="14">
        <v>45745</v>
      </c>
      <c r="J24" s="17" t="s">
        <v>35</v>
      </c>
      <c r="K24" s="17" t="s">
        <v>35</v>
      </c>
      <c r="L24" s="17" t="s">
        <v>35</v>
      </c>
      <c r="M24" s="17" t="s">
        <v>35</v>
      </c>
      <c r="N24" s="17" t="s">
        <v>35</v>
      </c>
      <c r="O24" s="17" t="s">
        <v>35</v>
      </c>
      <c r="P24" s="17" t="s">
        <v>35</v>
      </c>
      <c r="Q24" s="17" t="s">
        <v>35</v>
      </c>
      <c r="R24" s="17" t="s">
        <v>35</v>
      </c>
      <c r="S24" s="17" t="s">
        <v>35</v>
      </c>
      <c r="T24" s="17" t="s">
        <v>35</v>
      </c>
      <c r="U24" s="17" t="s">
        <v>35</v>
      </c>
      <c r="V24" s="19">
        <v>12093</v>
      </c>
      <c r="W24" s="19">
        <v>2002</v>
      </c>
      <c r="X24" s="18">
        <f t="shared" si="0"/>
        <v>14095</v>
      </c>
      <c r="Y24" s="19">
        <v>12633</v>
      </c>
      <c r="Z24" s="19">
        <v>2050</v>
      </c>
      <c r="AA24" s="19">
        <v>14683</v>
      </c>
    </row>
    <row r="25" spans="1:27" x14ac:dyDescent="0.3">
      <c r="A25" s="7" t="s">
        <v>66</v>
      </c>
      <c r="B25" s="4" t="s">
        <v>75</v>
      </c>
      <c r="C25" s="7">
        <v>211</v>
      </c>
      <c r="D25" s="6" t="s">
        <v>76</v>
      </c>
      <c r="E25" s="7" t="s">
        <v>77</v>
      </c>
      <c r="F25" s="11">
        <v>182.5</v>
      </c>
      <c r="G25" s="11">
        <v>211.1</v>
      </c>
      <c r="H25" s="7" t="s">
        <v>47</v>
      </c>
      <c r="I25" s="14">
        <v>45745</v>
      </c>
      <c r="J25" s="17" t="s">
        <v>35</v>
      </c>
      <c r="K25" s="17" t="s">
        <v>35</v>
      </c>
      <c r="L25" s="17" t="s">
        <v>35</v>
      </c>
      <c r="M25" s="17" t="s">
        <v>35</v>
      </c>
      <c r="N25" s="17" t="s">
        <v>35</v>
      </c>
      <c r="O25" s="17" t="s">
        <v>35</v>
      </c>
      <c r="P25" s="17" t="s">
        <v>35</v>
      </c>
      <c r="Q25" s="17" t="s">
        <v>35</v>
      </c>
      <c r="R25" s="17" t="s">
        <v>35</v>
      </c>
      <c r="S25" s="17" t="s">
        <v>35</v>
      </c>
      <c r="T25" s="17" t="s">
        <v>35</v>
      </c>
      <c r="U25" s="17" t="s">
        <v>35</v>
      </c>
      <c r="V25" s="19">
        <v>2611</v>
      </c>
      <c r="W25" s="19">
        <v>615</v>
      </c>
      <c r="X25" s="18">
        <f t="shared" si="0"/>
        <v>3226</v>
      </c>
      <c r="Y25" s="19">
        <v>2984</v>
      </c>
      <c r="Z25" s="19">
        <v>620</v>
      </c>
      <c r="AA25" s="19">
        <v>3604</v>
      </c>
    </row>
    <row r="26" spans="1:27" x14ac:dyDescent="0.3">
      <c r="A26" s="7" t="s">
        <v>78</v>
      </c>
      <c r="B26" s="4" t="s">
        <v>79</v>
      </c>
      <c r="C26" s="7">
        <v>45.5</v>
      </c>
      <c r="D26" s="6" t="s">
        <v>80</v>
      </c>
      <c r="E26" s="7" t="s">
        <v>81</v>
      </c>
      <c r="F26" s="11">
        <v>43</v>
      </c>
      <c r="G26" s="11">
        <v>49.5</v>
      </c>
      <c r="H26" s="7" t="s">
        <v>47</v>
      </c>
      <c r="I26" s="14">
        <v>45597</v>
      </c>
      <c r="J26" s="17">
        <v>41159</v>
      </c>
      <c r="K26" s="17">
        <v>4375</v>
      </c>
      <c r="L26" s="17">
        <v>45534</v>
      </c>
      <c r="M26" s="17">
        <v>44275</v>
      </c>
      <c r="N26" s="17">
        <v>4443</v>
      </c>
      <c r="O26" s="17">
        <v>48718</v>
      </c>
      <c r="P26" s="17">
        <v>42728</v>
      </c>
      <c r="Q26" s="17">
        <v>5055</v>
      </c>
      <c r="R26" s="17">
        <v>47783</v>
      </c>
      <c r="S26" s="17">
        <v>44032</v>
      </c>
      <c r="T26" s="17">
        <v>10542</v>
      </c>
      <c r="U26" s="17">
        <v>54574</v>
      </c>
      <c r="V26" s="19">
        <v>41813</v>
      </c>
      <c r="W26" s="19">
        <v>4449</v>
      </c>
      <c r="X26" s="18">
        <f t="shared" si="0"/>
        <v>46262</v>
      </c>
      <c r="Y26" s="17" t="s">
        <v>35</v>
      </c>
      <c r="Z26" s="17" t="s">
        <v>35</v>
      </c>
      <c r="AA26" s="17" t="s">
        <v>35</v>
      </c>
    </row>
    <row r="27" spans="1:27" x14ac:dyDescent="0.3">
      <c r="A27" s="7" t="s">
        <v>82</v>
      </c>
      <c r="B27" s="4" t="s">
        <v>83</v>
      </c>
      <c r="C27" s="7">
        <v>9</v>
      </c>
      <c r="D27" s="5" t="s">
        <v>84</v>
      </c>
      <c r="E27" s="7" t="s">
        <v>85</v>
      </c>
      <c r="F27" s="11">
        <v>1.2</v>
      </c>
      <c r="G27" s="11">
        <v>9.4499999999999993</v>
      </c>
      <c r="H27" s="7" t="s">
        <v>16</v>
      </c>
      <c r="I27" s="14" t="s">
        <v>220</v>
      </c>
      <c r="J27" s="17">
        <v>6783</v>
      </c>
      <c r="K27" s="17">
        <v>932</v>
      </c>
      <c r="L27" s="17">
        <v>7715</v>
      </c>
      <c r="M27" s="17">
        <v>7689</v>
      </c>
      <c r="N27" s="17">
        <v>1012</v>
      </c>
      <c r="O27" s="17">
        <v>8701</v>
      </c>
      <c r="P27" s="17">
        <v>8135</v>
      </c>
      <c r="Q27" s="17">
        <v>1019</v>
      </c>
      <c r="R27" s="17">
        <v>9154</v>
      </c>
      <c r="S27" s="17">
        <v>8623</v>
      </c>
      <c r="T27" s="17">
        <v>1038</v>
      </c>
      <c r="U27" s="17">
        <v>9661</v>
      </c>
      <c r="V27" s="19">
        <v>8942</v>
      </c>
      <c r="W27" s="19">
        <v>1136</v>
      </c>
      <c r="X27" s="18">
        <f t="shared" si="0"/>
        <v>10078</v>
      </c>
      <c r="Y27" s="19">
        <v>9262</v>
      </c>
      <c r="Z27" s="19">
        <v>1196</v>
      </c>
      <c r="AA27" s="19">
        <v>10458</v>
      </c>
    </row>
    <row r="28" spans="1:27" x14ac:dyDescent="0.3">
      <c r="A28" s="7" t="s">
        <v>86</v>
      </c>
      <c r="B28" s="4" t="s">
        <v>87</v>
      </c>
      <c r="C28" s="16">
        <v>59</v>
      </c>
      <c r="D28" s="6" t="s">
        <v>80</v>
      </c>
      <c r="E28" s="7" t="s">
        <v>88</v>
      </c>
      <c r="F28" s="11">
        <v>56.65</v>
      </c>
      <c r="G28" s="11">
        <v>62.9</v>
      </c>
      <c r="H28" s="7" t="s">
        <v>47</v>
      </c>
      <c r="I28" s="14">
        <v>45568</v>
      </c>
      <c r="J28" s="17">
        <v>15492</v>
      </c>
      <c r="K28" s="17">
        <v>1194</v>
      </c>
      <c r="L28" s="17">
        <v>16686</v>
      </c>
      <c r="M28" s="17">
        <v>19520</v>
      </c>
      <c r="N28" s="17">
        <v>1391</v>
      </c>
      <c r="O28" s="17">
        <v>20911</v>
      </c>
      <c r="P28" s="17">
        <v>19948</v>
      </c>
      <c r="Q28" s="17">
        <v>1572</v>
      </c>
      <c r="R28" s="17">
        <v>21520</v>
      </c>
      <c r="S28" s="17">
        <v>20504</v>
      </c>
      <c r="T28" s="17">
        <v>1560</v>
      </c>
      <c r="U28" s="17">
        <v>22064</v>
      </c>
      <c r="V28" s="19">
        <v>20884</v>
      </c>
      <c r="W28" s="19">
        <v>1383</v>
      </c>
      <c r="X28" s="18">
        <f t="shared" si="0"/>
        <v>22267</v>
      </c>
      <c r="Y28" s="17" t="s">
        <v>35</v>
      </c>
      <c r="Z28" s="17" t="s">
        <v>35</v>
      </c>
      <c r="AA28" s="17" t="s">
        <v>35</v>
      </c>
    </row>
    <row r="29" spans="1:27" x14ac:dyDescent="0.3">
      <c r="A29" s="7" t="s">
        <v>86</v>
      </c>
      <c r="B29" s="4" t="s">
        <v>87</v>
      </c>
      <c r="C29" s="7">
        <v>98</v>
      </c>
      <c r="D29" s="6" t="s">
        <v>89</v>
      </c>
      <c r="E29" s="7" t="s">
        <v>90</v>
      </c>
      <c r="F29" s="11">
        <v>82.4</v>
      </c>
      <c r="G29" s="11">
        <v>98.1</v>
      </c>
      <c r="H29" s="7" t="s">
        <v>47</v>
      </c>
      <c r="I29" s="14">
        <v>45568</v>
      </c>
      <c r="J29" s="17">
        <v>10197</v>
      </c>
      <c r="K29" s="17">
        <v>650</v>
      </c>
      <c r="L29" s="17">
        <v>10847</v>
      </c>
      <c r="M29" s="17">
        <v>10986</v>
      </c>
      <c r="N29" s="17">
        <v>782</v>
      </c>
      <c r="O29" s="17">
        <v>11768</v>
      </c>
      <c r="P29" s="17">
        <v>10589</v>
      </c>
      <c r="Q29" s="17">
        <v>773</v>
      </c>
      <c r="R29" s="17">
        <v>11362</v>
      </c>
      <c r="S29" s="17">
        <v>10849</v>
      </c>
      <c r="T29" s="17">
        <v>686</v>
      </c>
      <c r="U29" s="17">
        <v>11535</v>
      </c>
      <c r="V29" s="19">
        <v>10671</v>
      </c>
      <c r="W29" s="19">
        <v>684</v>
      </c>
      <c r="X29" s="18">
        <f t="shared" si="0"/>
        <v>11355</v>
      </c>
      <c r="Y29" s="17" t="s">
        <v>35</v>
      </c>
      <c r="Z29" s="17" t="s">
        <v>35</v>
      </c>
      <c r="AA29" s="17" t="s">
        <v>35</v>
      </c>
    </row>
    <row r="30" spans="1:27" x14ac:dyDescent="0.3">
      <c r="A30" s="7" t="s">
        <v>91</v>
      </c>
      <c r="B30" s="4" t="s">
        <v>92</v>
      </c>
      <c r="C30" s="7">
        <v>23</v>
      </c>
      <c r="D30" s="5" t="s">
        <v>93</v>
      </c>
      <c r="E30" s="7" t="s">
        <v>94</v>
      </c>
      <c r="F30" s="11">
        <v>16.329999999999998</v>
      </c>
      <c r="G30" s="11">
        <v>22.2</v>
      </c>
      <c r="H30" s="7" t="s">
        <v>16</v>
      </c>
      <c r="I30" s="14" t="s">
        <v>220</v>
      </c>
      <c r="J30" s="17" t="s">
        <v>35</v>
      </c>
      <c r="K30" s="17" t="s">
        <v>35</v>
      </c>
      <c r="L30" s="17" t="s">
        <v>35</v>
      </c>
      <c r="M30" s="17" t="s">
        <v>35</v>
      </c>
      <c r="N30" s="17" t="s">
        <v>35</v>
      </c>
      <c r="O30" s="17" t="s">
        <v>35</v>
      </c>
      <c r="P30" s="17" t="s">
        <v>35</v>
      </c>
      <c r="Q30" s="17" t="s">
        <v>35</v>
      </c>
      <c r="R30" s="17" t="s">
        <v>35</v>
      </c>
      <c r="S30" s="17" t="s">
        <v>35</v>
      </c>
      <c r="T30" s="17" t="s">
        <v>35</v>
      </c>
      <c r="U30" s="17" t="s">
        <v>35</v>
      </c>
      <c r="V30" s="19">
        <v>1041</v>
      </c>
      <c r="W30" s="19">
        <v>94</v>
      </c>
      <c r="X30" s="18">
        <f t="shared" si="0"/>
        <v>1135</v>
      </c>
      <c r="Y30" s="19">
        <v>1098</v>
      </c>
      <c r="Z30" s="19">
        <v>116</v>
      </c>
      <c r="AA30" s="19">
        <v>1214</v>
      </c>
    </row>
    <row r="31" spans="1:27" x14ac:dyDescent="0.3">
      <c r="A31" s="7" t="s">
        <v>95</v>
      </c>
      <c r="B31" s="4" t="s">
        <v>96</v>
      </c>
      <c r="C31" s="7">
        <v>32</v>
      </c>
      <c r="D31" s="5" t="s">
        <v>97</v>
      </c>
      <c r="E31" s="7" t="s">
        <v>98</v>
      </c>
      <c r="F31" s="11">
        <v>31.2</v>
      </c>
      <c r="G31" s="11">
        <v>32</v>
      </c>
      <c r="H31" s="7" t="s">
        <v>16</v>
      </c>
      <c r="I31" s="14" t="s">
        <v>220</v>
      </c>
      <c r="J31" s="17">
        <v>7810</v>
      </c>
      <c r="K31" s="17">
        <v>1284</v>
      </c>
      <c r="L31" s="17">
        <v>9094</v>
      </c>
      <c r="M31" s="17">
        <v>8894</v>
      </c>
      <c r="N31" s="17">
        <v>1514</v>
      </c>
      <c r="O31" s="17">
        <v>10408</v>
      </c>
      <c r="P31" s="17">
        <v>10126</v>
      </c>
      <c r="Q31" s="17">
        <v>1763</v>
      </c>
      <c r="R31" s="17">
        <v>11889</v>
      </c>
      <c r="S31" s="17">
        <v>11680</v>
      </c>
      <c r="T31" s="17">
        <v>1818</v>
      </c>
      <c r="U31" s="17">
        <v>13498</v>
      </c>
      <c r="V31" s="19">
        <v>12141</v>
      </c>
      <c r="W31" s="19">
        <v>1907</v>
      </c>
      <c r="X31" s="18">
        <f t="shared" si="0"/>
        <v>14048</v>
      </c>
      <c r="Y31" s="19">
        <v>12302</v>
      </c>
      <c r="Z31" s="19">
        <v>1959</v>
      </c>
      <c r="AA31" s="19">
        <v>14261</v>
      </c>
    </row>
    <row r="32" spans="1:27" x14ac:dyDescent="0.3">
      <c r="A32" s="7" t="s">
        <v>99</v>
      </c>
      <c r="B32" s="4" t="s">
        <v>100</v>
      </c>
      <c r="C32" s="7">
        <v>35</v>
      </c>
      <c r="D32" s="5" t="s">
        <v>101</v>
      </c>
      <c r="E32" s="7" t="s">
        <v>102</v>
      </c>
      <c r="F32" s="11">
        <v>23.65</v>
      </c>
      <c r="G32" s="11">
        <v>34.450000000000003</v>
      </c>
      <c r="H32" s="7" t="s">
        <v>16</v>
      </c>
      <c r="I32" s="14" t="s">
        <v>220</v>
      </c>
      <c r="J32" s="17" t="s">
        <v>35</v>
      </c>
      <c r="K32" s="17" t="s">
        <v>35</v>
      </c>
      <c r="L32" s="17" t="s">
        <v>35</v>
      </c>
      <c r="M32" s="17" t="s">
        <v>35</v>
      </c>
      <c r="N32" s="17" t="s">
        <v>35</v>
      </c>
      <c r="O32" s="17" t="s">
        <v>35</v>
      </c>
      <c r="P32" s="17" t="s">
        <v>35</v>
      </c>
      <c r="Q32" s="17" t="s">
        <v>35</v>
      </c>
      <c r="R32" s="17" t="s">
        <v>35</v>
      </c>
      <c r="S32" s="17" t="s">
        <v>35</v>
      </c>
      <c r="T32" s="17" t="s">
        <v>35</v>
      </c>
      <c r="U32" s="17" t="s">
        <v>35</v>
      </c>
      <c r="V32" s="19">
        <v>1470</v>
      </c>
      <c r="W32" s="19">
        <v>98</v>
      </c>
      <c r="X32" s="18">
        <f t="shared" si="0"/>
        <v>1568</v>
      </c>
      <c r="Y32" s="19">
        <v>1523</v>
      </c>
      <c r="Z32" s="19">
        <v>103</v>
      </c>
      <c r="AA32" s="19">
        <v>1626</v>
      </c>
    </row>
    <row r="33" spans="1:27" x14ac:dyDescent="0.3">
      <c r="A33" s="7" t="s">
        <v>103</v>
      </c>
      <c r="B33" s="4" t="s">
        <v>104</v>
      </c>
      <c r="C33" s="7">
        <v>8</v>
      </c>
      <c r="D33" s="5" t="s">
        <v>105</v>
      </c>
      <c r="E33" s="7" t="s">
        <v>106</v>
      </c>
      <c r="F33" s="11">
        <v>6.27</v>
      </c>
      <c r="G33" s="11">
        <v>7.2</v>
      </c>
      <c r="H33" s="7" t="s">
        <v>16</v>
      </c>
      <c r="I33" s="14" t="s">
        <v>220</v>
      </c>
      <c r="J33" s="17">
        <v>8888</v>
      </c>
      <c r="K33" s="17">
        <v>1269</v>
      </c>
      <c r="L33" s="17">
        <v>10157</v>
      </c>
      <c r="M33" s="17">
        <v>11096</v>
      </c>
      <c r="N33" s="17">
        <v>1067</v>
      </c>
      <c r="O33" s="17">
        <v>12163</v>
      </c>
      <c r="P33" s="17">
        <v>11402</v>
      </c>
      <c r="Q33" s="17">
        <v>1043</v>
      </c>
      <c r="R33" s="17">
        <v>12445</v>
      </c>
      <c r="S33" s="17">
        <v>12327</v>
      </c>
      <c r="T33" s="17">
        <v>1069</v>
      </c>
      <c r="U33" s="17">
        <v>13396</v>
      </c>
      <c r="V33" s="19">
        <v>12727</v>
      </c>
      <c r="W33" s="19">
        <v>1085</v>
      </c>
      <c r="X33" s="18">
        <f t="shared" si="0"/>
        <v>13812</v>
      </c>
      <c r="Y33" s="19">
        <v>13286</v>
      </c>
      <c r="Z33" s="19">
        <v>1376</v>
      </c>
      <c r="AA33" s="19">
        <v>14662</v>
      </c>
    </row>
    <row r="34" spans="1:27" x14ac:dyDescent="0.3">
      <c r="A34" s="7" t="s">
        <v>103</v>
      </c>
      <c r="B34" s="4" t="s">
        <v>104</v>
      </c>
      <c r="C34" s="7">
        <v>18</v>
      </c>
      <c r="D34" s="5" t="s">
        <v>107</v>
      </c>
      <c r="E34" s="7" t="s">
        <v>108</v>
      </c>
      <c r="F34" s="11">
        <v>17.100000000000001</v>
      </c>
      <c r="G34" s="11">
        <v>23.7</v>
      </c>
      <c r="H34" s="7" t="s">
        <v>16</v>
      </c>
      <c r="I34" s="14" t="s">
        <v>220</v>
      </c>
      <c r="J34" s="17">
        <v>8455</v>
      </c>
      <c r="K34" s="17">
        <v>845</v>
      </c>
      <c r="L34" s="17">
        <v>9300</v>
      </c>
      <c r="M34" s="17">
        <v>10508</v>
      </c>
      <c r="N34" s="17">
        <v>982</v>
      </c>
      <c r="O34" s="17">
        <v>11490</v>
      </c>
      <c r="P34" s="17">
        <v>11144</v>
      </c>
      <c r="Q34" s="17">
        <v>1104</v>
      </c>
      <c r="R34" s="17">
        <v>12248</v>
      </c>
      <c r="S34" s="17" t="s">
        <v>35</v>
      </c>
      <c r="T34" s="17" t="s">
        <v>35</v>
      </c>
      <c r="U34" s="17" t="s">
        <v>35</v>
      </c>
      <c r="V34" s="19">
        <v>11916</v>
      </c>
      <c r="W34" s="19">
        <v>1169</v>
      </c>
      <c r="X34" s="18">
        <f t="shared" si="0"/>
        <v>13085</v>
      </c>
      <c r="Y34" s="19">
        <v>12048</v>
      </c>
      <c r="Z34" s="19">
        <v>1208</v>
      </c>
      <c r="AA34" s="19">
        <v>13256</v>
      </c>
    </row>
    <row r="35" spans="1:27" x14ac:dyDescent="0.3">
      <c r="A35" s="7" t="s">
        <v>103</v>
      </c>
      <c r="B35" s="4" t="s">
        <v>104</v>
      </c>
      <c r="C35" s="7">
        <v>33.5</v>
      </c>
      <c r="D35" s="5" t="s">
        <v>107</v>
      </c>
      <c r="E35" s="7" t="s">
        <v>109</v>
      </c>
      <c r="F35" s="11">
        <v>33.299999999999997</v>
      </c>
      <c r="G35" s="11">
        <v>36.270000000000003</v>
      </c>
      <c r="H35" s="7" t="s">
        <v>16</v>
      </c>
      <c r="I35" s="14" t="s">
        <v>220</v>
      </c>
      <c r="J35" s="17">
        <v>6750</v>
      </c>
      <c r="K35" s="17">
        <v>292</v>
      </c>
      <c r="L35" s="17">
        <v>7042</v>
      </c>
      <c r="M35" s="17">
        <v>8492</v>
      </c>
      <c r="N35" s="17">
        <v>337</v>
      </c>
      <c r="O35" s="17">
        <v>8829</v>
      </c>
      <c r="P35" s="17">
        <v>8759</v>
      </c>
      <c r="Q35" s="17">
        <v>387</v>
      </c>
      <c r="R35" s="17">
        <v>9146</v>
      </c>
      <c r="S35" s="17">
        <v>10192</v>
      </c>
      <c r="T35" s="17">
        <v>271</v>
      </c>
      <c r="U35" s="17">
        <v>10463</v>
      </c>
      <c r="V35" s="19">
        <v>9858</v>
      </c>
      <c r="W35" s="19">
        <v>425</v>
      </c>
      <c r="X35" s="18">
        <f t="shared" si="0"/>
        <v>10283</v>
      </c>
      <c r="Y35" s="19">
        <v>10721</v>
      </c>
      <c r="Z35" s="19">
        <v>425</v>
      </c>
      <c r="AA35" s="19">
        <v>11146</v>
      </c>
    </row>
    <row r="36" spans="1:27" x14ac:dyDescent="0.3">
      <c r="A36" s="7" t="s">
        <v>110</v>
      </c>
      <c r="B36" s="4" t="s">
        <v>111</v>
      </c>
      <c r="C36" s="7">
        <v>14</v>
      </c>
      <c r="D36" s="5" t="s">
        <v>112</v>
      </c>
      <c r="E36" s="7" t="s">
        <v>113</v>
      </c>
      <c r="F36" s="11">
        <v>14.208</v>
      </c>
      <c r="G36" s="11">
        <v>21.1</v>
      </c>
      <c r="H36" s="7" t="s">
        <v>16</v>
      </c>
      <c r="I36" s="14" t="s">
        <v>220</v>
      </c>
      <c r="J36" s="17">
        <v>8481</v>
      </c>
      <c r="K36" s="17">
        <v>642</v>
      </c>
      <c r="L36" s="17">
        <v>9123</v>
      </c>
      <c r="M36" s="17">
        <v>7608</v>
      </c>
      <c r="N36" s="17">
        <v>574</v>
      </c>
      <c r="O36" s="17">
        <v>8182</v>
      </c>
      <c r="P36" s="17">
        <v>8863</v>
      </c>
      <c r="Q36" s="17">
        <v>654</v>
      </c>
      <c r="R36" s="17">
        <v>9517</v>
      </c>
      <c r="S36" s="17">
        <v>10134</v>
      </c>
      <c r="T36" s="17">
        <v>637</v>
      </c>
      <c r="U36" s="17">
        <v>10771</v>
      </c>
      <c r="V36" s="19">
        <v>10135</v>
      </c>
      <c r="W36" s="19">
        <v>641</v>
      </c>
      <c r="X36" s="18">
        <f t="shared" si="0"/>
        <v>10776</v>
      </c>
      <c r="Y36" s="19">
        <v>10259</v>
      </c>
      <c r="Z36" s="19">
        <v>796</v>
      </c>
      <c r="AA36" s="19">
        <v>11055</v>
      </c>
    </row>
    <row r="37" spans="1:27" x14ac:dyDescent="0.3">
      <c r="A37" s="7" t="s">
        <v>110</v>
      </c>
      <c r="B37" s="4" t="s">
        <v>111</v>
      </c>
      <c r="C37" s="7">
        <v>42</v>
      </c>
      <c r="D37" s="5" t="s">
        <v>114</v>
      </c>
      <c r="E37" s="7" t="s">
        <v>115</v>
      </c>
      <c r="F37" s="11">
        <v>41.89</v>
      </c>
      <c r="G37" s="11">
        <v>43.7</v>
      </c>
      <c r="H37" s="7" t="s">
        <v>16</v>
      </c>
      <c r="I37" s="14" t="s">
        <v>220</v>
      </c>
      <c r="J37" s="17" t="s">
        <v>35</v>
      </c>
      <c r="K37" s="17" t="s">
        <v>35</v>
      </c>
      <c r="L37" s="17" t="s">
        <v>35</v>
      </c>
      <c r="M37" s="17" t="s">
        <v>35</v>
      </c>
      <c r="N37" s="17" t="s">
        <v>35</v>
      </c>
      <c r="O37" s="17" t="s">
        <v>35</v>
      </c>
      <c r="P37" s="17" t="s">
        <v>35</v>
      </c>
      <c r="Q37" s="17" t="s">
        <v>35</v>
      </c>
      <c r="R37" s="17" t="s">
        <v>35</v>
      </c>
      <c r="S37" s="17" t="s">
        <v>35</v>
      </c>
      <c r="T37" s="17" t="s">
        <v>35</v>
      </c>
      <c r="U37" s="17" t="s">
        <v>35</v>
      </c>
      <c r="V37" s="19">
        <v>6917</v>
      </c>
      <c r="W37" s="19">
        <v>455</v>
      </c>
      <c r="X37" s="18">
        <f t="shared" si="0"/>
        <v>7372</v>
      </c>
      <c r="Y37" s="19">
        <v>6914</v>
      </c>
      <c r="Z37" s="19">
        <v>677</v>
      </c>
      <c r="AA37" s="19">
        <v>7591</v>
      </c>
    </row>
    <row r="38" spans="1:27" x14ac:dyDescent="0.3">
      <c r="A38" s="7" t="s">
        <v>110</v>
      </c>
      <c r="B38" s="4" t="s">
        <v>111</v>
      </c>
      <c r="C38" s="7">
        <v>88</v>
      </c>
      <c r="D38" s="5" t="s">
        <v>116</v>
      </c>
      <c r="E38" s="7" t="s">
        <v>117</v>
      </c>
      <c r="F38" s="11">
        <v>78.95</v>
      </c>
      <c r="G38" s="11">
        <v>94.5</v>
      </c>
      <c r="H38" s="7" t="s">
        <v>16</v>
      </c>
      <c r="I38" s="14" t="s">
        <v>220</v>
      </c>
      <c r="J38" s="17">
        <v>6347</v>
      </c>
      <c r="K38" s="17">
        <v>270</v>
      </c>
      <c r="L38" s="17">
        <v>6617</v>
      </c>
      <c r="M38" s="17">
        <v>6589</v>
      </c>
      <c r="N38" s="17">
        <v>311</v>
      </c>
      <c r="O38" s="17">
        <v>6900</v>
      </c>
      <c r="P38" s="17">
        <v>6652</v>
      </c>
      <c r="Q38" s="17">
        <v>313</v>
      </c>
      <c r="R38" s="17">
        <v>6965</v>
      </c>
      <c r="S38" s="17">
        <v>7227</v>
      </c>
      <c r="T38" s="17">
        <v>232</v>
      </c>
      <c r="U38" s="17">
        <v>7459</v>
      </c>
      <c r="V38" s="19">
        <v>7039</v>
      </c>
      <c r="W38" s="19">
        <v>233</v>
      </c>
      <c r="X38" s="18">
        <f t="shared" si="0"/>
        <v>7272</v>
      </c>
      <c r="Y38" s="19">
        <v>7159</v>
      </c>
      <c r="Z38" s="19">
        <v>286</v>
      </c>
      <c r="AA38" s="19">
        <v>7445</v>
      </c>
    </row>
    <row r="39" spans="1:27" x14ac:dyDescent="0.3">
      <c r="A39" s="7" t="s">
        <v>118</v>
      </c>
      <c r="B39" s="4" t="s">
        <v>119</v>
      </c>
      <c r="C39" s="7">
        <v>34</v>
      </c>
      <c r="D39" s="5" t="s">
        <v>120</v>
      </c>
      <c r="E39" s="7" t="s">
        <v>121</v>
      </c>
      <c r="F39" s="11">
        <v>27.75</v>
      </c>
      <c r="G39" s="11">
        <v>41.36</v>
      </c>
      <c r="H39" s="7" t="s">
        <v>16</v>
      </c>
      <c r="I39" s="14" t="s">
        <v>220</v>
      </c>
      <c r="J39" s="17" t="s">
        <v>35</v>
      </c>
      <c r="K39" s="17" t="s">
        <v>35</v>
      </c>
      <c r="L39" s="17" t="s">
        <v>35</v>
      </c>
      <c r="M39" s="17" t="s">
        <v>35</v>
      </c>
      <c r="N39" s="17" t="s">
        <v>35</v>
      </c>
      <c r="O39" s="17" t="s">
        <v>35</v>
      </c>
      <c r="P39" s="17" t="s">
        <v>35</v>
      </c>
      <c r="Q39" s="17" t="s">
        <v>35</v>
      </c>
      <c r="R39" s="17" t="s">
        <v>35</v>
      </c>
      <c r="S39" s="17" t="s">
        <v>35</v>
      </c>
      <c r="T39" s="17" t="s">
        <v>35</v>
      </c>
      <c r="U39" s="17" t="s">
        <v>35</v>
      </c>
      <c r="V39" s="19">
        <v>5755</v>
      </c>
      <c r="W39" s="19">
        <v>1135</v>
      </c>
      <c r="X39" s="18">
        <f t="shared" si="0"/>
        <v>6890</v>
      </c>
      <c r="Y39" s="19">
        <v>6027</v>
      </c>
      <c r="Z39" s="19">
        <v>1192</v>
      </c>
      <c r="AA39" s="19">
        <v>7219</v>
      </c>
    </row>
    <row r="40" spans="1:27" x14ac:dyDescent="0.3">
      <c r="A40" s="7" t="s">
        <v>122</v>
      </c>
      <c r="B40" s="4" t="s">
        <v>123</v>
      </c>
      <c r="C40" s="7">
        <v>33</v>
      </c>
      <c r="D40" s="5" t="s">
        <v>124</v>
      </c>
      <c r="E40" s="7" t="s">
        <v>125</v>
      </c>
      <c r="F40" s="11">
        <v>29.422000000000001</v>
      </c>
      <c r="G40" s="11">
        <v>33.1</v>
      </c>
      <c r="H40" s="7" t="s">
        <v>16</v>
      </c>
      <c r="I40" s="14" t="s">
        <v>220</v>
      </c>
      <c r="J40" s="17" t="s">
        <v>35</v>
      </c>
      <c r="K40" s="17" t="s">
        <v>35</v>
      </c>
      <c r="L40" s="17" t="s">
        <v>35</v>
      </c>
      <c r="M40" s="17" t="s">
        <v>35</v>
      </c>
      <c r="N40" s="17" t="s">
        <v>35</v>
      </c>
      <c r="O40" s="17" t="s">
        <v>35</v>
      </c>
      <c r="P40" s="17" t="s">
        <v>35</v>
      </c>
      <c r="Q40" s="17" t="s">
        <v>35</v>
      </c>
      <c r="R40" s="17" t="s">
        <v>35</v>
      </c>
      <c r="S40" s="17" t="s">
        <v>35</v>
      </c>
      <c r="T40" s="17" t="s">
        <v>35</v>
      </c>
      <c r="U40" s="17" t="s">
        <v>35</v>
      </c>
      <c r="V40" s="19">
        <v>18646</v>
      </c>
      <c r="W40" s="19">
        <v>2796</v>
      </c>
      <c r="X40" s="18">
        <f t="shared" si="0"/>
        <v>21442</v>
      </c>
      <c r="Y40" s="19">
        <v>18703</v>
      </c>
      <c r="Z40" s="19">
        <v>2783</v>
      </c>
      <c r="AA40" s="19">
        <v>21486</v>
      </c>
    </row>
    <row r="41" spans="1:27" x14ac:dyDescent="0.3">
      <c r="A41" s="7" t="s">
        <v>126</v>
      </c>
      <c r="B41" s="4" t="s">
        <v>127</v>
      </c>
      <c r="C41" s="7">
        <v>146</v>
      </c>
      <c r="D41" s="5" t="s">
        <v>128</v>
      </c>
      <c r="E41" s="7" t="s">
        <v>129</v>
      </c>
      <c r="F41" s="11">
        <v>143.41</v>
      </c>
      <c r="G41" s="11">
        <v>149.38999999999999</v>
      </c>
      <c r="H41" s="7" t="s">
        <v>16</v>
      </c>
      <c r="I41" s="14" t="s">
        <v>220</v>
      </c>
      <c r="J41" s="17" t="s">
        <v>35</v>
      </c>
      <c r="K41" s="17" t="s">
        <v>35</v>
      </c>
      <c r="L41" s="17" t="s">
        <v>35</v>
      </c>
      <c r="M41" s="17" t="s">
        <v>35</v>
      </c>
      <c r="N41" s="17" t="s">
        <v>35</v>
      </c>
      <c r="O41" s="17" t="s">
        <v>35</v>
      </c>
      <c r="P41" s="17" t="s">
        <v>35</v>
      </c>
      <c r="Q41" s="17" t="s">
        <v>35</v>
      </c>
      <c r="R41" s="17" t="s">
        <v>35</v>
      </c>
      <c r="S41" s="17" t="s">
        <v>35</v>
      </c>
      <c r="T41" s="17" t="s">
        <v>35</v>
      </c>
      <c r="U41" s="17" t="s">
        <v>35</v>
      </c>
      <c r="V41" s="19">
        <v>2392</v>
      </c>
      <c r="W41" s="19">
        <v>1136</v>
      </c>
      <c r="X41" s="18">
        <f t="shared" si="0"/>
        <v>3528</v>
      </c>
      <c r="Y41" s="19">
        <v>2526</v>
      </c>
      <c r="Z41" s="19">
        <v>1244</v>
      </c>
      <c r="AA41" s="19">
        <v>3770</v>
      </c>
    </row>
    <row r="42" spans="1:27" x14ac:dyDescent="0.3">
      <c r="A42" s="7" t="s">
        <v>130</v>
      </c>
      <c r="B42" s="4" t="s">
        <v>131</v>
      </c>
      <c r="C42" s="7">
        <v>42</v>
      </c>
      <c r="D42" s="5" t="s">
        <v>132</v>
      </c>
      <c r="E42" s="7" t="s">
        <v>133</v>
      </c>
      <c r="F42" s="11">
        <v>39.4</v>
      </c>
      <c r="G42" s="11">
        <v>44.2</v>
      </c>
      <c r="H42" s="7" t="s">
        <v>16</v>
      </c>
      <c r="I42" s="14" t="s">
        <v>220</v>
      </c>
      <c r="J42" s="17" t="s">
        <v>35</v>
      </c>
      <c r="K42" s="17" t="s">
        <v>35</v>
      </c>
      <c r="L42" s="17" t="s">
        <v>35</v>
      </c>
      <c r="M42" s="17" t="s">
        <v>35</v>
      </c>
      <c r="N42" s="17" t="s">
        <v>35</v>
      </c>
      <c r="O42" s="17" t="s">
        <v>35</v>
      </c>
      <c r="P42" s="17" t="s">
        <v>35</v>
      </c>
      <c r="Q42" s="17" t="s">
        <v>35</v>
      </c>
      <c r="R42" s="17" t="s">
        <v>35</v>
      </c>
      <c r="S42" s="17" t="s">
        <v>35</v>
      </c>
      <c r="T42" s="17" t="s">
        <v>35</v>
      </c>
      <c r="U42" s="17" t="s">
        <v>35</v>
      </c>
      <c r="V42" s="19">
        <v>5513</v>
      </c>
      <c r="W42" s="19">
        <v>1584</v>
      </c>
      <c r="X42" s="18">
        <f t="shared" si="0"/>
        <v>7097</v>
      </c>
      <c r="Y42" s="19">
        <v>5542</v>
      </c>
      <c r="Z42" s="19">
        <v>1582</v>
      </c>
      <c r="AA42" s="19">
        <v>7124</v>
      </c>
    </row>
    <row r="43" spans="1:27" x14ac:dyDescent="0.3">
      <c r="A43" s="7" t="s">
        <v>134</v>
      </c>
      <c r="B43" s="4" t="s">
        <v>135</v>
      </c>
      <c r="C43" s="16">
        <v>10</v>
      </c>
      <c r="D43" s="5" t="s">
        <v>136</v>
      </c>
      <c r="E43" s="7" t="s">
        <v>137</v>
      </c>
      <c r="F43" s="11">
        <v>9.8000000000000007</v>
      </c>
      <c r="G43" s="11">
        <v>20.2</v>
      </c>
      <c r="H43" s="7" t="s">
        <v>47</v>
      </c>
      <c r="I43" s="14">
        <v>45746</v>
      </c>
      <c r="J43" s="17">
        <v>66132</v>
      </c>
      <c r="K43" s="17">
        <v>10306</v>
      </c>
      <c r="L43" s="17">
        <v>76438</v>
      </c>
      <c r="M43" s="17">
        <v>70704</v>
      </c>
      <c r="N43" s="17">
        <v>9764</v>
      </c>
      <c r="O43" s="17">
        <v>80468</v>
      </c>
      <c r="P43" s="17">
        <v>72626</v>
      </c>
      <c r="Q43" s="17">
        <v>9824</v>
      </c>
      <c r="R43" s="17">
        <v>82450</v>
      </c>
      <c r="S43" s="17">
        <v>74796</v>
      </c>
      <c r="T43" s="17">
        <v>11036</v>
      </c>
      <c r="U43" s="17">
        <v>85832</v>
      </c>
      <c r="V43" s="19">
        <v>76729</v>
      </c>
      <c r="W43" s="19">
        <v>8171</v>
      </c>
      <c r="X43" s="18">
        <f t="shared" si="0"/>
        <v>84900</v>
      </c>
      <c r="Y43" s="19">
        <v>87062</v>
      </c>
      <c r="Z43" s="19">
        <v>4721</v>
      </c>
      <c r="AA43" s="19">
        <v>91783</v>
      </c>
    </row>
    <row r="44" spans="1:27" x14ac:dyDescent="0.3">
      <c r="A44" s="7" t="s">
        <v>134</v>
      </c>
      <c r="B44" s="4" t="s">
        <v>135</v>
      </c>
      <c r="C44" s="7">
        <v>173</v>
      </c>
      <c r="D44" s="5" t="s">
        <v>138</v>
      </c>
      <c r="E44" s="7" t="s">
        <v>139</v>
      </c>
      <c r="F44" s="11">
        <v>168.21</v>
      </c>
      <c r="G44" s="11">
        <v>173.5</v>
      </c>
      <c r="H44" s="7" t="s">
        <v>47</v>
      </c>
      <c r="I44" s="14">
        <v>46072</v>
      </c>
      <c r="J44" s="17" t="s">
        <v>35</v>
      </c>
      <c r="K44" s="17" t="s">
        <v>35</v>
      </c>
      <c r="L44" s="17" t="s">
        <v>35</v>
      </c>
      <c r="M44" s="17" t="s">
        <v>35</v>
      </c>
      <c r="N44" s="17" t="s">
        <v>35</v>
      </c>
      <c r="O44" s="17" t="s">
        <v>35</v>
      </c>
      <c r="P44" s="17" t="s">
        <v>35</v>
      </c>
      <c r="Q44" s="17" t="s">
        <v>35</v>
      </c>
      <c r="R44" s="17" t="s">
        <v>35</v>
      </c>
      <c r="S44" s="17" t="s">
        <v>35</v>
      </c>
      <c r="T44" s="17" t="s">
        <v>35</v>
      </c>
      <c r="U44" s="17" t="s">
        <v>35</v>
      </c>
      <c r="V44" s="19">
        <v>8294</v>
      </c>
      <c r="W44" s="19">
        <v>3614</v>
      </c>
      <c r="X44" s="18">
        <f t="shared" si="0"/>
        <v>11908</v>
      </c>
      <c r="Y44" s="19">
        <v>8542</v>
      </c>
      <c r="Z44" s="19">
        <v>3745</v>
      </c>
      <c r="AA44" s="19">
        <v>12287</v>
      </c>
    </row>
    <row r="45" spans="1:27" x14ac:dyDescent="0.3">
      <c r="A45" s="7" t="s">
        <v>134</v>
      </c>
      <c r="B45" s="4" t="s">
        <v>135</v>
      </c>
      <c r="C45" s="7">
        <v>309</v>
      </c>
      <c r="D45" s="5" t="s">
        <v>140</v>
      </c>
      <c r="E45" s="7" t="s">
        <v>141</v>
      </c>
      <c r="F45" s="11">
        <v>295.39</v>
      </c>
      <c r="G45" s="11">
        <v>309.15600000000001</v>
      </c>
      <c r="H45" s="7" t="s">
        <v>47</v>
      </c>
      <c r="I45" s="14">
        <v>46072</v>
      </c>
      <c r="J45" s="17" t="s">
        <v>35</v>
      </c>
      <c r="K45" s="17" t="s">
        <v>35</v>
      </c>
      <c r="L45" s="17" t="s">
        <v>35</v>
      </c>
      <c r="M45" s="17" t="s">
        <v>35</v>
      </c>
      <c r="N45" s="17" t="s">
        <v>35</v>
      </c>
      <c r="O45" s="17" t="s">
        <v>35</v>
      </c>
      <c r="P45" s="17" t="s">
        <v>35</v>
      </c>
      <c r="Q45" s="17" t="s">
        <v>35</v>
      </c>
      <c r="R45" s="17" t="s">
        <v>35</v>
      </c>
      <c r="S45" s="17" t="s">
        <v>35</v>
      </c>
      <c r="T45" s="17" t="s">
        <v>35</v>
      </c>
      <c r="U45" s="17" t="s">
        <v>35</v>
      </c>
      <c r="V45" s="19">
        <v>2184</v>
      </c>
      <c r="W45" s="19">
        <v>1933</v>
      </c>
      <c r="X45" s="18">
        <f t="shared" si="0"/>
        <v>4117</v>
      </c>
      <c r="Y45" s="19">
        <v>2370</v>
      </c>
      <c r="Z45" s="19">
        <v>2085</v>
      </c>
      <c r="AA45" s="19">
        <v>4455</v>
      </c>
    </row>
    <row r="46" spans="1:27" x14ac:dyDescent="0.3">
      <c r="A46" s="7" t="s">
        <v>142</v>
      </c>
      <c r="B46" s="4" t="s">
        <v>143</v>
      </c>
      <c r="C46" s="7">
        <v>48.5</v>
      </c>
      <c r="D46" s="5" t="s">
        <v>144</v>
      </c>
      <c r="E46" s="7" t="s">
        <v>145</v>
      </c>
      <c r="F46" s="11">
        <v>41</v>
      </c>
      <c r="G46" s="11">
        <v>49.66</v>
      </c>
      <c r="H46" s="7" t="s">
        <v>16</v>
      </c>
      <c r="I46" s="14" t="s">
        <v>220</v>
      </c>
      <c r="J46" s="17">
        <v>7059</v>
      </c>
      <c r="K46" s="17">
        <v>494</v>
      </c>
      <c r="L46" s="17">
        <v>7553</v>
      </c>
      <c r="M46" s="17">
        <v>7509</v>
      </c>
      <c r="N46" s="17">
        <v>969</v>
      </c>
      <c r="O46" s="17">
        <v>8478</v>
      </c>
      <c r="P46" s="17">
        <v>7639</v>
      </c>
      <c r="Q46" s="17">
        <v>1068</v>
      </c>
      <c r="R46" s="17">
        <v>8707</v>
      </c>
      <c r="S46" s="17">
        <v>7724</v>
      </c>
      <c r="T46" s="17">
        <v>914</v>
      </c>
      <c r="U46" s="17">
        <v>8638</v>
      </c>
      <c r="V46" s="19">
        <v>7884</v>
      </c>
      <c r="W46" s="19">
        <v>816</v>
      </c>
      <c r="X46" s="18">
        <f t="shared" si="0"/>
        <v>8700</v>
      </c>
      <c r="Y46" s="19">
        <v>8147</v>
      </c>
      <c r="Z46" s="19">
        <v>847</v>
      </c>
      <c r="AA46" s="19">
        <v>8994</v>
      </c>
    </row>
    <row r="47" spans="1:27" x14ac:dyDescent="0.3">
      <c r="A47" s="7" t="s">
        <v>146</v>
      </c>
      <c r="B47" s="4" t="s">
        <v>147</v>
      </c>
      <c r="C47" s="7">
        <v>157</v>
      </c>
      <c r="D47" s="5" t="s">
        <v>148</v>
      </c>
      <c r="E47" s="7" t="s">
        <v>149</v>
      </c>
      <c r="F47" s="11">
        <v>154.90700000000001</v>
      </c>
      <c r="G47" s="11">
        <v>158.50700000000001</v>
      </c>
      <c r="H47" s="7" t="s">
        <v>16</v>
      </c>
      <c r="I47" s="14" t="s">
        <v>220</v>
      </c>
      <c r="J47" s="17" t="s">
        <v>35</v>
      </c>
      <c r="K47" s="17" t="s">
        <v>35</v>
      </c>
      <c r="L47" s="17" t="s">
        <v>35</v>
      </c>
      <c r="M47" s="17" t="s">
        <v>35</v>
      </c>
      <c r="N47" s="17" t="s">
        <v>35</v>
      </c>
      <c r="O47" s="17" t="s">
        <v>35</v>
      </c>
      <c r="P47" s="17" t="s">
        <v>35</v>
      </c>
      <c r="Q47" s="17" t="s">
        <v>35</v>
      </c>
      <c r="R47" s="17" t="s">
        <v>35</v>
      </c>
      <c r="S47" s="17" t="s">
        <v>35</v>
      </c>
      <c r="T47" s="17" t="s">
        <v>35</v>
      </c>
      <c r="U47" s="17" t="s">
        <v>35</v>
      </c>
      <c r="V47" s="19">
        <v>30157</v>
      </c>
      <c r="W47" s="19">
        <v>5821</v>
      </c>
      <c r="X47" s="18">
        <f t="shared" si="0"/>
        <v>35978</v>
      </c>
      <c r="Y47" s="19">
        <v>30988</v>
      </c>
      <c r="Z47" s="19">
        <v>5685</v>
      </c>
      <c r="AA47" s="19">
        <v>36673</v>
      </c>
    </row>
    <row r="48" spans="1:27" x14ac:dyDescent="0.3">
      <c r="A48" s="7" t="s">
        <v>146</v>
      </c>
      <c r="B48" s="4" t="s">
        <v>147</v>
      </c>
      <c r="C48" s="7">
        <v>395</v>
      </c>
      <c r="D48" s="5" t="s">
        <v>151</v>
      </c>
      <c r="E48" s="7" t="s">
        <v>152</v>
      </c>
      <c r="F48" s="11">
        <v>394.2</v>
      </c>
      <c r="G48" s="11">
        <v>395.95</v>
      </c>
      <c r="H48" s="7" t="s">
        <v>16</v>
      </c>
      <c r="I48" s="14" t="s">
        <v>220</v>
      </c>
      <c r="J48" s="17" t="s">
        <v>35</v>
      </c>
      <c r="K48" s="17" t="s">
        <v>35</v>
      </c>
      <c r="L48" s="17" t="s">
        <v>35</v>
      </c>
      <c r="M48" s="17" t="s">
        <v>35</v>
      </c>
      <c r="N48" s="17" t="s">
        <v>35</v>
      </c>
      <c r="O48" s="17" t="s">
        <v>35</v>
      </c>
      <c r="P48" s="17" t="s">
        <v>35</v>
      </c>
      <c r="Q48" s="17" t="s">
        <v>35</v>
      </c>
      <c r="R48" s="17" t="s">
        <v>35</v>
      </c>
      <c r="S48" s="17" t="s">
        <v>35</v>
      </c>
      <c r="T48" s="17" t="s">
        <v>35</v>
      </c>
      <c r="U48" s="17" t="s">
        <v>35</v>
      </c>
      <c r="V48" s="19">
        <v>2542</v>
      </c>
      <c r="W48" s="19">
        <v>1625</v>
      </c>
      <c r="X48" s="18">
        <f t="shared" ref="X48" si="2">V48+W48</f>
        <v>4167</v>
      </c>
      <c r="Y48" s="19">
        <v>3115</v>
      </c>
      <c r="Z48" s="19">
        <v>1985</v>
      </c>
      <c r="AA48" s="19">
        <v>5100</v>
      </c>
    </row>
    <row r="49" spans="1:27" x14ac:dyDescent="0.3">
      <c r="A49" s="7" t="s">
        <v>153</v>
      </c>
      <c r="B49" s="4" t="s">
        <v>154</v>
      </c>
      <c r="C49" s="7">
        <v>477</v>
      </c>
      <c r="D49" s="5" t="s">
        <v>155</v>
      </c>
      <c r="E49" s="7" t="s">
        <v>156</v>
      </c>
      <c r="F49" s="11">
        <v>475.88499999999999</v>
      </c>
      <c r="G49" s="11">
        <v>479.5</v>
      </c>
      <c r="H49" s="7" t="s">
        <v>16</v>
      </c>
      <c r="I49" s="14" t="s">
        <v>220</v>
      </c>
      <c r="J49" s="17" t="s">
        <v>35</v>
      </c>
      <c r="K49" s="17" t="s">
        <v>35</v>
      </c>
      <c r="L49" s="17" t="s">
        <v>35</v>
      </c>
      <c r="M49" s="17" t="s">
        <v>35</v>
      </c>
      <c r="N49" s="17" t="s">
        <v>35</v>
      </c>
      <c r="O49" s="17" t="s">
        <v>35</v>
      </c>
      <c r="P49" s="17" t="s">
        <v>35</v>
      </c>
      <c r="Q49" s="17" t="s">
        <v>35</v>
      </c>
      <c r="R49" s="17" t="s">
        <v>35</v>
      </c>
      <c r="S49" s="17" t="s">
        <v>35</v>
      </c>
      <c r="T49" s="17" t="s">
        <v>35</v>
      </c>
      <c r="U49" s="17" t="s">
        <v>35</v>
      </c>
      <c r="V49" s="19">
        <v>6684</v>
      </c>
      <c r="W49" s="19">
        <v>1957</v>
      </c>
      <c r="X49" s="18">
        <f>V49+W49</f>
        <v>8641</v>
      </c>
      <c r="Y49" s="19">
        <v>6537</v>
      </c>
      <c r="Z49" s="19">
        <v>1891</v>
      </c>
      <c r="AA49" s="19">
        <v>8428</v>
      </c>
    </row>
    <row r="50" spans="1:27" x14ac:dyDescent="0.3">
      <c r="A50" s="7" t="s">
        <v>153</v>
      </c>
      <c r="B50" s="4" t="s">
        <v>154</v>
      </c>
      <c r="C50" s="7">
        <v>508</v>
      </c>
      <c r="D50" s="5" t="s">
        <v>157</v>
      </c>
      <c r="E50" s="7" t="s">
        <v>158</v>
      </c>
      <c r="F50" s="11">
        <v>499.12</v>
      </c>
      <c r="G50" s="11">
        <v>509.5</v>
      </c>
      <c r="H50" s="7" t="s">
        <v>16</v>
      </c>
      <c r="I50" s="14" t="s">
        <v>220</v>
      </c>
      <c r="J50" s="17" t="s">
        <v>35</v>
      </c>
      <c r="K50" s="17" t="s">
        <v>35</v>
      </c>
      <c r="L50" s="17" t="s">
        <v>35</v>
      </c>
      <c r="M50" s="17" t="s">
        <v>35</v>
      </c>
      <c r="N50" s="17" t="s">
        <v>35</v>
      </c>
      <c r="O50" s="17" t="s">
        <v>35</v>
      </c>
      <c r="P50" s="17" t="s">
        <v>35</v>
      </c>
      <c r="Q50" s="17" t="s">
        <v>35</v>
      </c>
      <c r="R50" s="17" t="s">
        <v>35</v>
      </c>
      <c r="S50" s="17" t="s">
        <v>35</v>
      </c>
      <c r="T50" s="17" t="s">
        <v>35</v>
      </c>
      <c r="U50" s="17" t="s">
        <v>35</v>
      </c>
      <c r="V50" s="19">
        <v>5987</v>
      </c>
      <c r="W50" s="19">
        <v>1896</v>
      </c>
      <c r="X50" s="18">
        <f t="shared" ref="X50:X71" si="3">V50+W50</f>
        <v>7883</v>
      </c>
      <c r="Y50" s="19">
        <v>5957</v>
      </c>
      <c r="Z50" s="19">
        <v>1832</v>
      </c>
      <c r="AA50" s="19">
        <v>7789</v>
      </c>
    </row>
    <row r="51" spans="1:27" x14ac:dyDescent="0.3">
      <c r="A51" s="7" t="s">
        <v>153</v>
      </c>
      <c r="B51" s="4" t="s">
        <v>154</v>
      </c>
      <c r="C51" s="7">
        <v>513</v>
      </c>
      <c r="D51" s="5" t="s">
        <v>159</v>
      </c>
      <c r="E51" s="7" t="s">
        <v>160</v>
      </c>
      <c r="F51" s="11">
        <v>511.86</v>
      </c>
      <c r="G51" s="11">
        <v>518.4</v>
      </c>
      <c r="H51" s="7" t="s">
        <v>16</v>
      </c>
      <c r="I51" s="14" t="s">
        <v>220</v>
      </c>
      <c r="J51" s="17" t="s">
        <v>35</v>
      </c>
      <c r="K51" s="17" t="s">
        <v>35</v>
      </c>
      <c r="L51" s="17" t="s">
        <v>35</v>
      </c>
      <c r="M51" s="17" t="s">
        <v>35</v>
      </c>
      <c r="N51" s="17" t="s">
        <v>35</v>
      </c>
      <c r="O51" s="17" t="s">
        <v>35</v>
      </c>
      <c r="P51" s="17" t="s">
        <v>35</v>
      </c>
      <c r="Q51" s="17" t="s">
        <v>35</v>
      </c>
      <c r="R51" s="17" t="s">
        <v>35</v>
      </c>
      <c r="S51" s="17" t="s">
        <v>35</v>
      </c>
      <c r="T51" s="17" t="s">
        <v>35</v>
      </c>
      <c r="U51" s="17" t="s">
        <v>35</v>
      </c>
      <c r="V51" s="19">
        <v>4410</v>
      </c>
      <c r="W51" s="19">
        <v>1425</v>
      </c>
      <c r="X51" s="18">
        <f t="shared" si="3"/>
        <v>5835</v>
      </c>
      <c r="Y51" s="19">
        <v>4538</v>
      </c>
      <c r="Z51" s="19">
        <v>1131</v>
      </c>
      <c r="AA51" s="19">
        <v>5669</v>
      </c>
    </row>
    <row r="52" spans="1:27" x14ac:dyDescent="0.3">
      <c r="A52" s="7" t="s">
        <v>153</v>
      </c>
      <c r="B52" s="4" t="s">
        <v>154</v>
      </c>
      <c r="C52" s="7">
        <v>544</v>
      </c>
      <c r="D52" s="5" t="s">
        <v>161</v>
      </c>
      <c r="E52" s="7" t="s">
        <v>162</v>
      </c>
      <c r="F52" s="11">
        <v>542.5</v>
      </c>
      <c r="G52" s="11">
        <v>546.58000000000004</v>
      </c>
      <c r="H52" s="7" t="s">
        <v>16</v>
      </c>
      <c r="I52" s="14" t="s">
        <v>220</v>
      </c>
      <c r="J52" s="17" t="s">
        <v>35</v>
      </c>
      <c r="K52" s="17" t="s">
        <v>35</v>
      </c>
      <c r="L52" s="17" t="s">
        <v>35</v>
      </c>
      <c r="M52" s="17" t="s">
        <v>35</v>
      </c>
      <c r="N52" s="17" t="s">
        <v>35</v>
      </c>
      <c r="O52" s="17" t="s">
        <v>35</v>
      </c>
      <c r="P52" s="17" t="s">
        <v>35</v>
      </c>
      <c r="Q52" s="17" t="s">
        <v>35</v>
      </c>
      <c r="R52" s="17" t="s">
        <v>35</v>
      </c>
      <c r="S52" s="17" t="s">
        <v>35</v>
      </c>
      <c r="T52" s="17" t="s">
        <v>35</v>
      </c>
      <c r="U52" s="17" t="s">
        <v>35</v>
      </c>
      <c r="V52" s="19">
        <v>2274</v>
      </c>
      <c r="W52" s="19">
        <v>1156</v>
      </c>
      <c r="X52" s="18">
        <f t="shared" si="3"/>
        <v>3430</v>
      </c>
      <c r="Y52" s="19">
        <v>2217</v>
      </c>
      <c r="Z52" s="19">
        <v>1143</v>
      </c>
      <c r="AA52" s="19">
        <v>3360</v>
      </c>
    </row>
    <row r="53" spans="1:27" x14ac:dyDescent="0.3">
      <c r="A53" s="7" t="s">
        <v>153</v>
      </c>
      <c r="B53" s="4" t="s">
        <v>154</v>
      </c>
      <c r="C53" s="7">
        <v>622</v>
      </c>
      <c r="D53" s="5" t="s">
        <v>163</v>
      </c>
      <c r="E53" s="7" t="s">
        <v>164</v>
      </c>
      <c r="F53" s="11">
        <v>613.79999999999995</v>
      </c>
      <c r="G53" s="11">
        <v>621.91200000000003</v>
      </c>
      <c r="H53" s="7" t="s">
        <v>16</v>
      </c>
      <c r="I53" s="14" t="s">
        <v>220</v>
      </c>
      <c r="J53" s="17" t="s">
        <v>35</v>
      </c>
      <c r="K53" s="17" t="s">
        <v>35</v>
      </c>
      <c r="L53" s="17" t="s">
        <v>35</v>
      </c>
      <c r="M53" s="17" t="s">
        <v>35</v>
      </c>
      <c r="N53" s="17" t="s">
        <v>35</v>
      </c>
      <c r="O53" s="17" t="s">
        <v>35</v>
      </c>
      <c r="P53" s="17" t="s">
        <v>35</v>
      </c>
      <c r="Q53" s="17" t="s">
        <v>35</v>
      </c>
      <c r="R53" s="17" t="s">
        <v>35</v>
      </c>
      <c r="S53" s="17" t="s">
        <v>35</v>
      </c>
      <c r="T53" s="17" t="s">
        <v>35</v>
      </c>
      <c r="U53" s="17" t="s">
        <v>35</v>
      </c>
      <c r="V53" s="19">
        <v>3499</v>
      </c>
      <c r="W53" s="19">
        <v>1365</v>
      </c>
      <c r="X53" s="18">
        <f t="shared" si="3"/>
        <v>4864</v>
      </c>
      <c r="Y53" s="19">
        <v>3462</v>
      </c>
      <c r="Z53" s="19">
        <v>1353</v>
      </c>
      <c r="AA53" s="19">
        <v>4815</v>
      </c>
    </row>
    <row r="54" spans="1:27" x14ac:dyDescent="0.3">
      <c r="A54" s="7" t="s">
        <v>165</v>
      </c>
      <c r="B54" s="4" t="s">
        <v>166</v>
      </c>
      <c r="C54" s="7">
        <v>487</v>
      </c>
      <c r="D54" s="5" t="s">
        <v>167</v>
      </c>
      <c r="E54" s="7" t="s">
        <v>168</v>
      </c>
      <c r="F54" s="11">
        <v>477.93</v>
      </c>
      <c r="G54" s="11">
        <v>492.07</v>
      </c>
      <c r="H54" s="7" t="s">
        <v>16</v>
      </c>
      <c r="I54" s="14" t="s">
        <v>220</v>
      </c>
      <c r="J54" s="17" t="s">
        <v>35</v>
      </c>
      <c r="K54" s="17" t="s">
        <v>35</v>
      </c>
      <c r="L54" s="17" t="s">
        <v>35</v>
      </c>
      <c r="M54" s="17" t="s">
        <v>35</v>
      </c>
      <c r="N54" s="17" t="s">
        <v>35</v>
      </c>
      <c r="O54" s="17" t="s">
        <v>35</v>
      </c>
      <c r="P54" s="17" t="s">
        <v>35</v>
      </c>
      <c r="Q54" s="17" t="s">
        <v>35</v>
      </c>
      <c r="R54" s="17" t="s">
        <v>35</v>
      </c>
      <c r="S54" s="17" t="s">
        <v>35</v>
      </c>
      <c r="T54" s="17" t="s">
        <v>35</v>
      </c>
      <c r="U54" s="17" t="s">
        <v>35</v>
      </c>
      <c r="V54" s="19">
        <v>11592</v>
      </c>
      <c r="W54" s="19">
        <v>4378</v>
      </c>
      <c r="X54" s="18">
        <f t="shared" si="3"/>
        <v>15970</v>
      </c>
      <c r="Y54" s="19">
        <v>11741</v>
      </c>
      <c r="Z54" s="19">
        <v>4310</v>
      </c>
      <c r="AA54" s="19">
        <v>16051</v>
      </c>
    </row>
    <row r="55" spans="1:27" x14ac:dyDescent="0.3">
      <c r="A55" s="7" t="s">
        <v>165</v>
      </c>
      <c r="B55" s="4" t="s">
        <v>166</v>
      </c>
      <c r="C55" s="7">
        <v>524</v>
      </c>
      <c r="D55" s="5" t="s">
        <v>169</v>
      </c>
      <c r="E55" s="7" t="s">
        <v>170</v>
      </c>
      <c r="F55" s="11">
        <v>521.71</v>
      </c>
      <c r="G55" s="11">
        <v>526.9</v>
      </c>
      <c r="H55" s="7" t="s">
        <v>16</v>
      </c>
      <c r="I55" s="14" t="s">
        <v>220</v>
      </c>
      <c r="J55" s="17" t="s">
        <v>35</v>
      </c>
      <c r="K55" s="17" t="s">
        <v>35</v>
      </c>
      <c r="L55" s="17" t="s">
        <v>35</v>
      </c>
      <c r="M55" s="17" t="s">
        <v>35</v>
      </c>
      <c r="N55" s="17" t="s">
        <v>35</v>
      </c>
      <c r="O55" s="17" t="s">
        <v>35</v>
      </c>
      <c r="P55" s="17" t="s">
        <v>35</v>
      </c>
      <c r="Q55" s="17" t="s">
        <v>35</v>
      </c>
      <c r="R55" s="17" t="s">
        <v>35</v>
      </c>
      <c r="S55" s="17" t="s">
        <v>35</v>
      </c>
      <c r="T55" s="17" t="s">
        <v>35</v>
      </c>
      <c r="U55" s="17" t="s">
        <v>35</v>
      </c>
      <c r="V55" s="19">
        <v>15041</v>
      </c>
      <c r="W55" s="19">
        <v>4219</v>
      </c>
      <c r="X55" s="18">
        <f t="shared" si="3"/>
        <v>19260</v>
      </c>
      <c r="Y55" s="19">
        <v>15064</v>
      </c>
      <c r="Z55" s="19">
        <v>4020</v>
      </c>
      <c r="AA55" s="19">
        <v>19084</v>
      </c>
    </row>
    <row r="56" spans="1:27" x14ac:dyDescent="0.3">
      <c r="A56" s="7" t="s">
        <v>165</v>
      </c>
      <c r="B56" s="4" t="s">
        <v>166</v>
      </c>
      <c r="C56" s="7">
        <v>599</v>
      </c>
      <c r="D56" s="5" t="s">
        <v>171</v>
      </c>
      <c r="E56" s="7" t="s">
        <v>172</v>
      </c>
      <c r="F56" s="11">
        <v>597</v>
      </c>
      <c r="G56" s="11">
        <v>599.5</v>
      </c>
      <c r="H56" s="7" t="s">
        <v>16</v>
      </c>
      <c r="I56" s="14" t="s">
        <v>220</v>
      </c>
      <c r="J56" s="17" t="s">
        <v>35</v>
      </c>
      <c r="K56" s="17" t="s">
        <v>35</v>
      </c>
      <c r="L56" s="17" t="s">
        <v>35</v>
      </c>
      <c r="M56" s="17" t="s">
        <v>35</v>
      </c>
      <c r="N56" s="17" t="s">
        <v>35</v>
      </c>
      <c r="O56" s="17" t="s">
        <v>35</v>
      </c>
      <c r="P56" s="17" t="s">
        <v>35</v>
      </c>
      <c r="Q56" s="17" t="s">
        <v>35</v>
      </c>
      <c r="R56" s="17" t="s">
        <v>35</v>
      </c>
      <c r="S56" s="17" t="s">
        <v>35</v>
      </c>
      <c r="T56" s="17" t="s">
        <v>35</v>
      </c>
      <c r="U56" s="17" t="s">
        <v>35</v>
      </c>
      <c r="V56" s="19">
        <v>8695</v>
      </c>
      <c r="W56" s="19">
        <v>3459</v>
      </c>
      <c r="X56" s="18">
        <f t="shared" si="3"/>
        <v>12154</v>
      </c>
      <c r="Y56" s="19">
        <v>8985</v>
      </c>
      <c r="Z56" s="19">
        <v>3617</v>
      </c>
      <c r="AA56" s="19">
        <v>12602</v>
      </c>
    </row>
    <row r="57" spans="1:27" x14ac:dyDescent="0.3">
      <c r="A57" s="7" t="s">
        <v>150</v>
      </c>
      <c r="B57" s="4" t="s">
        <v>173</v>
      </c>
      <c r="C57" s="7">
        <v>389.5</v>
      </c>
      <c r="D57" s="5" t="s">
        <v>174</v>
      </c>
      <c r="E57" s="7" t="s">
        <v>175</v>
      </c>
      <c r="F57" s="11">
        <v>375.67</v>
      </c>
      <c r="G57" s="11">
        <v>390.15499999999997</v>
      </c>
      <c r="H57" s="7" t="s">
        <v>16</v>
      </c>
      <c r="I57" s="14" t="s">
        <v>220</v>
      </c>
      <c r="J57" s="17" t="s">
        <v>35</v>
      </c>
      <c r="K57" s="17" t="s">
        <v>35</v>
      </c>
      <c r="L57" s="17" t="s">
        <v>35</v>
      </c>
      <c r="M57" s="17" t="s">
        <v>35</v>
      </c>
      <c r="N57" s="17" t="s">
        <v>35</v>
      </c>
      <c r="O57" s="17" t="s">
        <v>35</v>
      </c>
      <c r="P57" s="17" t="s">
        <v>35</v>
      </c>
      <c r="Q57" s="17" t="s">
        <v>35</v>
      </c>
      <c r="R57" s="17" t="s">
        <v>35</v>
      </c>
      <c r="S57" s="17" t="s">
        <v>35</v>
      </c>
      <c r="T57" s="17" t="s">
        <v>35</v>
      </c>
      <c r="U57" s="17" t="s">
        <v>35</v>
      </c>
      <c r="V57" s="19">
        <v>3714</v>
      </c>
      <c r="W57" s="19">
        <v>1272</v>
      </c>
      <c r="X57" s="18">
        <f t="shared" si="3"/>
        <v>4986</v>
      </c>
      <c r="Y57" s="19">
        <v>3797</v>
      </c>
      <c r="Z57" s="19">
        <v>1349</v>
      </c>
      <c r="AA57" s="19">
        <v>5146</v>
      </c>
    </row>
    <row r="58" spans="1:27" x14ac:dyDescent="0.3">
      <c r="A58" s="7" t="s">
        <v>216</v>
      </c>
      <c r="B58" s="4" t="s">
        <v>217</v>
      </c>
      <c r="C58" s="7">
        <v>80.45</v>
      </c>
      <c r="D58" s="5" t="s">
        <v>218</v>
      </c>
      <c r="E58" s="7" t="s">
        <v>219</v>
      </c>
      <c r="F58" s="11">
        <v>80.25</v>
      </c>
      <c r="G58" s="11">
        <v>81.13</v>
      </c>
      <c r="H58" s="7" t="s">
        <v>16</v>
      </c>
      <c r="I58" s="14" t="s">
        <v>220</v>
      </c>
      <c r="J58" s="17">
        <v>3533</v>
      </c>
      <c r="K58" s="17">
        <v>758</v>
      </c>
      <c r="L58" s="17">
        <v>4291</v>
      </c>
      <c r="M58" s="17">
        <v>3999</v>
      </c>
      <c r="N58" s="17">
        <v>901</v>
      </c>
      <c r="O58" s="17">
        <v>4900</v>
      </c>
      <c r="P58" s="17">
        <v>4043</v>
      </c>
      <c r="Q58" s="17">
        <v>919</v>
      </c>
      <c r="R58" s="17">
        <v>4962</v>
      </c>
      <c r="S58" s="17">
        <v>4260</v>
      </c>
      <c r="T58" s="17">
        <v>991</v>
      </c>
      <c r="U58" s="17">
        <v>5251</v>
      </c>
      <c r="V58" s="19">
        <v>4247</v>
      </c>
      <c r="W58" s="19">
        <v>1007</v>
      </c>
      <c r="X58" s="18">
        <v>5254</v>
      </c>
      <c r="Y58" s="19">
        <v>4952</v>
      </c>
      <c r="Z58" s="19">
        <v>1132</v>
      </c>
      <c r="AA58" s="19">
        <v>6084</v>
      </c>
    </row>
    <row r="59" spans="1:27" x14ac:dyDescent="0.3">
      <c r="A59" s="7" t="s">
        <v>176</v>
      </c>
      <c r="B59" s="4" t="s">
        <v>177</v>
      </c>
      <c r="C59" s="7">
        <v>54.5</v>
      </c>
      <c r="D59" s="5" t="s">
        <v>178</v>
      </c>
      <c r="E59" s="7" t="s">
        <v>179</v>
      </c>
      <c r="F59" s="11">
        <v>53.5</v>
      </c>
      <c r="G59" s="11">
        <v>61</v>
      </c>
      <c r="H59" s="7" t="s">
        <v>16</v>
      </c>
      <c r="I59" s="14" t="s">
        <v>220</v>
      </c>
      <c r="J59" s="17">
        <v>16819</v>
      </c>
      <c r="K59" s="17">
        <v>2215</v>
      </c>
      <c r="L59" s="17">
        <v>19034</v>
      </c>
      <c r="M59" s="17">
        <v>15839</v>
      </c>
      <c r="N59" s="17">
        <v>2306</v>
      </c>
      <c r="O59" s="17">
        <v>18145</v>
      </c>
      <c r="P59" s="17">
        <v>16012</v>
      </c>
      <c r="Q59" s="17">
        <v>2296</v>
      </c>
      <c r="R59" s="17">
        <v>18308</v>
      </c>
      <c r="S59" s="17">
        <v>17200</v>
      </c>
      <c r="T59" s="17">
        <v>2316</v>
      </c>
      <c r="U59" s="17">
        <v>19516</v>
      </c>
      <c r="V59" s="19">
        <v>18207</v>
      </c>
      <c r="W59" s="19">
        <v>2633</v>
      </c>
      <c r="X59" s="18">
        <f t="shared" si="3"/>
        <v>20840</v>
      </c>
      <c r="Y59" s="19">
        <v>19037</v>
      </c>
      <c r="Z59" s="19">
        <v>2975</v>
      </c>
      <c r="AA59" s="19">
        <v>22012</v>
      </c>
    </row>
    <row r="60" spans="1:27" x14ac:dyDescent="0.3">
      <c r="A60" s="7" t="s">
        <v>180</v>
      </c>
      <c r="B60" s="4" t="s">
        <v>181</v>
      </c>
      <c r="C60" s="7">
        <v>5</v>
      </c>
      <c r="D60" s="5" t="s">
        <v>182</v>
      </c>
      <c r="E60" s="7" t="s">
        <v>183</v>
      </c>
      <c r="F60" s="11">
        <v>2</v>
      </c>
      <c r="G60" s="11">
        <v>10</v>
      </c>
      <c r="H60" s="7" t="s">
        <v>16</v>
      </c>
      <c r="I60" s="14" t="s">
        <v>220</v>
      </c>
      <c r="J60" s="17" t="s">
        <v>35</v>
      </c>
      <c r="K60" s="17" t="s">
        <v>35</v>
      </c>
      <c r="L60" s="17" t="s">
        <v>35</v>
      </c>
      <c r="M60" s="17" t="s">
        <v>35</v>
      </c>
      <c r="N60" s="17" t="s">
        <v>35</v>
      </c>
      <c r="O60" s="17" t="s">
        <v>35</v>
      </c>
      <c r="P60" s="17" t="s">
        <v>35</v>
      </c>
      <c r="Q60" s="17" t="s">
        <v>35</v>
      </c>
      <c r="R60" s="17" t="s">
        <v>35</v>
      </c>
      <c r="S60" s="17" t="s">
        <v>35</v>
      </c>
      <c r="T60" s="17" t="s">
        <v>35</v>
      </c>
      <c r="U60" s="17" t="s">
        <v>35</v>
      </c>
      <c r="V60" s="19">
        <v>5289</v>
      </c>
      <c r="W60" s="19">
        <v>1391</v>
      </c>
      <c r="X60" s="18">
        <f t="shared" si="3"/>
        <v>6680</v>
      </c>
      <c r="Y60" s="19">
        <v>5821</v>
      </c>
      <c r="Z60" s="19">
        <v>1573</v>
      </c>
      <c r="AA60" s="19">
        <v>7394</v>
      </c>
    </row>
    <row r="61" spans="1:27" x14ac:dyDescent="0.3">
      <c r="A61" s="7" t="s">
        <v>184</v>
      </c>
      <c r="B61" s="4" t="s">
        <v>185</v>
      </c>
      <c r="C61" s="7">
        <v>75.400000000000006</v>
      </c>
      <c r="D61" s="5" t="s">
        <v>186</v>
      </c>
      <c r="E61" s="7" t="s">
        <v>187</v>
      </c>
      <c r="F61" s="11">
        <v>72.03</v>
      </c>
      <c r="G61" s="11">
        <v>77.495999999999995</v>
      </c>
      <c r="H61" s="7" t="s">
        <v>16</v>
      </c>
      <c r="I61" s="14" t="s">
        <v>220</v>
      </c>
      <c r="J61" s="17">
        <v>8751</v>
      </c>
      <c r="K61" s="17">
        <v>1535</v>
      </c>
      <c r="L61" s="17">
        <v>10286</v>
      </c>
      <c r="M61" s="17">
        <v>2522</v>
      </c>
      <c r="N61" s="17">
        <v>207</v>
      </c>
      <c r="O61" s="17">
        <v>2729</v>
      </c>
      <c r="P61" s="17">
        <v>10747</v>
      </c>
      <c r="Q61" s="17">
        <v>3567</v>
      </c>
      <c r="R61" s="17">
        <v>14314</v>
      </c>
      <c r="S61" s="17">
        <v>13308</v>
      </c>
      <c r="T61" s="17">
        <v>4363</v>
      </c>
      <c r="U61" s="17">
        <v>17671</v>
      </c>
      <c r="V61" s="19">
        <v>13874</v>
      </c>
      <c r="W61" s="19">
        <v>4690</v>
      </c>
      <c r="X61" s="18">
        <f t="shared" si="3"/>
        <v>18564</v>
      </c>
      <c r="Y61" s="19">
        <v>14592</v>
      </c>
      <c r="Z61" s="19">
        <v>5224</v>
      </c>
      <c r="AA61" s="19">
        <v>19816</v>
      </c>
    </row>
    <row r="62" spans="1:27" x14ac:dyDescent="0.3">
      <c r="A62" s="7" t="s">
        <v>188</v>
      </c>
      <c r="B62" s="4" t="s">
        <v>189</v>
      </c>
      <c r="C62" s="7">
        <v>144</v>
      </c>
      <c r="D62" s="5" t="s">
        <v>190</v>
      </c>
      <c r="E62" s="7" t="s">
        <v>191</v>
      </c>
      <c r="F62" s="11">
        <v>142.68</v>
      </c>
      <c r="G62" s="11">
        <v>148.88</v>
      </c>
      <c r="H62" s="7" t="s">
        <v>16</v>
      </c>
      <c r="I62" s="14" t="s">
        <v>220</v>
      </c>
      <c r="J62" s="17">
        <v>5405</v>
      </c>
      <c r="K62" s="17">
        <v>392</v>
      </c>
      <c r="L62" s="17">
        <v>5797</v>
      </c>
      <c r="M62" s="17">
        <v>6015</v>
      </c>
      <c r="N62" s="17">
        <v>482</v>
      </c>
      <c r="O62" s="17">
        <v>6497</v>
      </c>
      <c r="P62" s="17">
        <v>5830</v>
      </c>
      <c r="Q62" s="17">
        <v>503</v>
      </c>
      <c r="R62" s="17">
        <v>6333</v>
      </c>
      <c r="S62" s="17">
        <v>6370</v>
      </c>
      <c r="T62" s="17">
        <v>513</v>
      </c>
      <c r="U62" s="17">
        <v>6883</v>
      </c>
      <c r="V62" s="19">
        <v>6649</v>
      </c>
      <c r="W62" s="19">
        <v>516</v>
      </c>
      <c r="X62" s="18">
        <f t="shared" si="3"/>
        <v>7165</v>
      </c>
      <c r="Y62" s="19">
        <v>6950</v>
      </c>
      <c r="Z62" s="19">
        <v>536</v>
      </c>
      <c r="AA62" s="19">
        <v>7486</v>
      </c>
    </row>
    <row r="63" spans="1:27" x14ac:dyDescent="0.3">
      <c r="A63" s="7" t="s">
        <v>188</v>
      </c>
      <c r="B63" s="4" t="s">
        <v>189</v>
      </c>
      <c r="C63" s="7">
        <v>160</v>
      </c>
      <c r="D63" s="5" t="s">
        <v>192</v>
      </c>
      <c r="E63" s="7" t="s">
        <v>193</v>
      </c>
      <c r="F63" s="11">
        <v>151.1</v>
      </c>
      <c r="G63" s="11">
        <v>160.66</v>
      </c>
      <c r="H63" s="7" t="s">
        <v>16</v>
      </c>
      <c r="I63" s="14" t="s">
        <v>220</v>
      </c>
      <c r="J63" s="17">
        <v>2916</v>
      </c>
      <c r="K63" s="17">
        <v>228</v>
      </c>
      <c r="L63" s="17">
        <v>3144</v>
      </c>
      <c r="M63" s="17">
        <v>3235</v>
      </c>
      <c r="N63" s="17">
        <v>278</v>
      </c>
      <c r="O63" s="17">
        <v>3513</v>
      </c>
      <c r="P63" s="17">
        <v>3544</v>
      </c>
      <c r="Q63" s="17">
        <v>335</v>
      </c>
      <c r="R63" s="17">
        <v>3879</v>
      </c>
      <c r="S63" s="17">
        <v>4035</v>
      </c>
      <c r="T63" s="17">
        <v>380</v>
      </c>
      <c r="U63" s="17">
        <v>4415</v>
      </c>
      <c r="V63" s="19">
        <v>4081</v>
      </c>
      <c r="W63" s="19">
        <v>361</v>
      </c>
      <c r="X63" s="18">
        <f t="shared" si="3"/>
        <v>4442</v>
      </c>
      <c r="Y63" s="19">
        <v>4210</v>
      </c>
      <c r="Z63" s="19">
        <v>357</v>
      </c>
      <c r="AA63" s="19">
        <v>4567</v>
      </c>
    </row>
    <row r="64" spans="1:27" x14ac:dyDescent="0.3">
      <c r="A64" s="7" t="s">
        <v>194</v>
      </c>
      <c r="B64" s="4" t="s">
        <v>195</v>
      </c>
      <c r="C64" s="7">
        <v>65</v>
      </c>
      <c r="D64" s="5" t="s">
        <v>196</v>
      </c>
      <c r="E64" s="7" t="s">
        <v>197</v>
      </c>
      <c r="F64" s="11">
        <v>60.11</v>
      </c>
      <c r="G64" s="11">
        <v>60.96</v>
      </c>
      <c r="H64" s="7" t="s">
        <v>16</v>
      </c>
      <c r="I64" s="14" t="s">
        <v>220</v>
      </c>
      <c r="J64" s="17" t="s">
        <v>35</v>
      </c>
      <c r="K64" s="17" t="s">
        <v>35</v>
      </c>
      <c r="L64" s="17" t="s">
        <v>35</v>
      </c>
      <c r="M64" s="17" t="s">
        <v>35</v>
      </c>
      <c r="N64" s="17" t="s">
        <v>35</v>
      </c>
      <c r="O64" s="17" t="s">
        <v>35</v>
      </c>
      <c r="P64" s="17" t="s">
        <v>35</v>
      </c>
      <c r="Q64" s="17" t="s">
        <v>35</v>
      </c>
      <c r="R64" s="17" t="s">
        <v>35</v>
      </c>
      <c r="S64" s="17" t="s">
        <v>35</v>
      </c>
      <c r="T64" s="17" t="s">
        <v>35</v>
      </c>
      <c r="U64" s="17" t="s">
        <v>35</v>
      </c>
      <c r="V64" s="19">
        <v>3730</v>
      </c>
      <c r="W64" s="19">
        <v>1739</v>
      </c>
      <c r="X64" s="18">
        <f t="shared" si="3"/>
        <v>5469</v>
      </c>
      <c r="Y64" s="19">
        <v>3870</v>
      </c>
      <c r="Z64" s="19">
        <v>1830</v>
      </c>
      <c r="AA64" s="22">
        <v>5700</v>
      </c>
    </row>
    <row r="65" spans="1:27" x14ac:dyDescent="0.3">
      <c r="A65" s="7" t="s">
        <v>194</v>
      </c>
      <c r="B65" s="4" t="s">
        <v>195</v>
      </c>
      <c r="C65" s="7">
        <v>135</v>
      </c>
      <c r="D65" s="5" t="s">
        <v>198</v>
      </c>
      <c r="E65" s="7" t="s">
        <v>199</v>
      </c>
      <c r="F65" s="11">
        <v>127.99</v>
      </c>
      <c r="G65" s="11">
        <v>135.76</v>
      </c>
      <c r="H65" s="7" t="s">
        <v>16</v>
      </c>
      <c r="I65" s="14" t="s">
        <v>220</v>
      </c>
      <c r="J65" s="17" t="s">
        <v>35</v>
      </c>
      <c r="K65" s="17" t="s">
        <v>35</v>
      </c>
      <c r="L65" s="17" t="s">
        <v>35</v>
      </c>
      <c r="M65" s="17" t="s">
        <v>35</v>
      </c>
      <c r="N65" s="17" t="s">
        <v>35</v>
      </c>
      <c r="O65" s="17" t="s">
        <v>35</v>
      </c>
      <c r="P65" s="17" t="s">
        <v>35</v>
      </c>
      <c r="Q65" s="17" t="s">
        <v>35</v>
      </c>
      <c r="R65" s="17" t="s">
        <v>35</v>
      </c>
      <c r="S65" s="17" t="s">
        <v>35</v>
      </c>
      <c r="T65" s="17" t="s">
        <v>35</v>
      </c>
      <c r="U65" s="17" t="s">
        <v>35</v>
      </c>
      <c r="V65" s="19">
        <v>4276</v>
      </c>
      <c r="W65" s="19">
        <v>2142</v>
      </c>
      <c r="X65" s="18">
        <f t="shared" si="3"/>
        <v>6418</v>
      </c>
      <c r="Y65" s="19">
        <v>4636</v>
      </c>
      <c r="Z65" s="19">
        <v>2320</v>
      </c>
      <c r="AA65" s="22">
        <v>6956</v>
      </c>
    </row>
    <row r="66" spans="1:27" x14ac:dyDescent="0.3">
      <c r="A66" s="7" t="s">
        <v>194</v>
      </c>
      <c r="B66" s="4" t="s">
        <v>195</v>
      </c>
      <c r="C66" s="7">
        <v>261</v>
      </c>
      <c r="D66" s="5" t="s">
        <v>200</v>
      </c>
      <c r="E66" s="7" t="s">
        <v>201</v>
      </c>
      <c r="F66" s="11">
        <v>243.85</v>
      </c>
      <c r="G66" s="11">
        <v>262</v>
      </c>
      <c r="H66" s="7" t="s">
        <v>16</v>
      </c>
      <c r="I66" s="14" t="s">
        <v>220</v>
      </c>
      <c r="J66" s="17" t="s">
        <v>35</v>
      </c>
      <c r="K66" s="17" t="s">
        <v>35</v>
      </c>
      <c r="L66" s="17" t="s">
        <v>35</v>
      </c>
      <c r="M66" s="17" t="s">
        <v>35</v>
      </c>
      <c r="N66" s="17" t="s">
        <v>35</v>
      </c>
      <c r="O66" s="17" t="s">
        <v>35</v>
      </c>
      <c r="P66" s="17" t="s">
        <v>35</v>
      </c>
      <c r="Q66" s="17" t="s">
        <v>35</v>
      </c>
      <c r="R66" s="17" t="s">
        <v>35</v>
      </c>
      <c r="S66" s="17" t="s">
        <v>35</v>
      </c>
      <c r="T66" s="17" t="s">
        <v>35</v>
      </c>
      <c r="U66" s="17" t="s">
        <v>35</v>
      </c>
      <c r="V66" s="21">
        <v>1999</v>
      </c>
      <c r="W66" s="21">
        <v>1381</v>
      </c>
      <c r="X66" s="20">
        <f>V66+W66</f>
        <v>3380</v>
      </c>
      <c r="Y66" s="19">
        <v>2903</v>
      </c>
      <c r="Z66" s="19">
        <v>1977</v>
      </c>
      <c r="AA66" s="19">
        <v>4880</v>
      </c>
    </row>
    <row r="67" spans="1:27" x14ac:dyDescent="0.3">
      <c r="A67" s="7" t="s">
        <v>194</v>
      </c>
      <c r="B67" s="4" t="s">
        <v>195</v>
      </c>
      <c r="C67" s="7">
        <v>338.5</v>
      </c>
      <c r="D67" s="5" t="s">
        <v>202</v>
      </c>
      <c r="E67" s="7" t="s">
        <v>203</v>
      </c>
      <c r="F67" s="11">
        <v>338.22</v>
      </c>
      <c r="G67" s="11">
        <v>339.22</v>
      </c>
      <c r="H67" s="7" t="s">
        <v>16</v>
      </c>
      <c r="I67" s="14" t="s">
        <v>220</v>
      </c>
      <c r="J67" s="17" t="s">
        <v>35</v>
      </c>
      <c r="K67" s="17" t="s">
        <v>35</v>
      </c>
      <c r="L67" s="17" t="s">
        <v>35</v>
      </c>
      <c r="M67" s="17" t="s">
        <v>35</v>
      </c>
      <c r="N67" s="17" t="s">
        <v>35</v>
      </c>
      <c r="O67" s="17" t="s">
        <v>35</v>
      </c>
      <c r="P67" s="17" t="s">
        <v>35</v>
      </c>
      <c r="Q67" s="17" t="s">
        <v>35</v>
      </c>
      <c r="R67" s="17" t="s">
        <v>35</v>
      </c>
      <c r="S67" s="17" t="s">
        <v>35</v>
      </c>
      <c r="T67" s="17" t="s">
        <v>35</v>
      </c>
      <c r="U67" s="17" t="s">
        <v>35</v>
      </c>
      <c r="V67" s="19">
        <v>3498</v>
      </c>
      <c r="W67" s="19">
        <v>2820</v>
      </c>
      <c r="X67" s="18">
        <f t="shared" si="3"/>
        <v>6318</v>
      </c>
      <c r="Y67" s="19">
        <v>3671</v>
      </c>
      <c r="Z67" s="19">
        <v>2988</v>
      </c>
      <c r="AA67" s="19">
        <v>6659</v>
      </c>
    </row>
    <row r="68" spans="1:27" x14ac:dyDescent="0.3">
      <c r="A68" s="7" t="s">
        <v>194</v>
      </c>
      <c r="B68" s="4" t="s">
        <v>195</v>
      </c>
      <c r="C68" s="7">
        <v>472</v>
      </c>
      <c r="D68" s="5" t="s">
        <v>204</v>
      </c>
      <c r="E68" s="7" t="s">
        <v>205</v>
      </c>
      <c r="F68" s="11">
        <v>462.65</v>
      </c>
      <c r="G68" s="11">
        <v>477.15</v>
      </c>
      <c r="H68" s="7" t="s">
        <v>16</v>
      </c>
      <c r="I68" s="14" t="s">
        <v>220</v>
      </c>
      <c r="J68" s="17" t="s">
        <v>35</v>
      </c>
      <c r="K68" s="17" t="s">
        <v>35</v>
      </c>
      <c r="L68" s="17" t="s">
        <v>35</v>
      </c>
      <c r="M68" s="17" t="s">
        <v>35</v>
      </c>
      <c r="N68" s="17" t="s">
        <v>35</v>
      </c>
      <c r="O68" s="17" t="s">
        <v>35</v>
      </c>
      <c r="P68" s="17" t="s">
        <v>35</v>
      </c>
      <c r="Q68" s="17" t="s">
        <v>35</v>
      </c>
      <c r="R68" s="17" t="s">
        <v>35</v>
      </c>
      <c r="S68" s="17" t="s">
        <v>35</v>
      </c>
      <c r="T68" s="17" t="s">
        <v>35</v>
      </c>
      <c r="U68" s="17" t="s">
        <v>35</v>
      </c>
      <c r="V68" s="19">
        <v>11132</v>
      </c>
      <c r="W68" s="19">
        <v>2568</v>
      </c>
      <c r="X68" s="18">
        <f t="shared" si="3"/>
        <v>13700</v>
      </c>
      <c r="Y68" s="19">
        <v>11782</v>
      </c>
      <c r="Z68" s="19">
        <v>2619</v>
      </c>
      <c r="AA68" s="19">
        <v>14401</v>
      </c>
    </row>
    <row r="69" spans="1:27" x14ac:dyDescent="0.3">
      <c r="A69" s="7" t="s">
        <v>206</v>
      </c>
      <c r="B69" s="4" t="s">
        <v>207</v>
      </c>
      <c r="C69" s="7">
        <v>95</v>
      </c>
      <c r="D69" s="5" t="s">
        <v>208</v>
      </c>
      <c r="E69" s="7" t="s">
        <v>209</v>
      </c>
      <c r="F69" s="11">
        <v>81.849999999999994</v>
      </c>
      <c r="G69" s="11">
        <v>94.756</v>
      </c>
      <c r="H69" s="7" t="s">
        <v>16</v>
      </c>
      <c r="I69" s="14" t="s">
        <v>220</v>
      </c>
      <c r="J69" s="17" t="s">
        <v>35</v>
      </c>
      <c r="K69" s="17" t="s">
        <v>35</v>
      </c>
      <c r="L69" s="17" t="s">
        <v>35</v>
      </c>
      <c r="M69" s="17" t="s">
        <v>35</v>
      </c>
      <c r="N69" s="17" t="s">
        <v>35</v>
      </c>
      <c r="O69" s="17" t="s">
        <v>35</v>
      </c>
      <c r="P69" s="17" t="s">
        <v>35</v>
      </c>
      <c r="Q69" s="17" t="s">
        <v>35</v>
      </c>
      <c r="R69" s="17" t="s">
        <v>35</v>
      </c>
      <c r="S69" s="17" t="s">
        <v>35</v>
      </c>
      <c r="T69" s="17" t="s">
        <v>35</v>
      </c>
      <c r="U69" s="17" t="s">
        <v>35</v>
      </c>
      <c r="V69" s="19">
        <v>2767</v>
      </c>
      <c r="W69" s="19">
        <v>1016</v>
      </c>
      <c r="X69" s="18">
        <f t="shared" si="3"/>
        <v>3783</v>
      </c>
      <c r="Y69" s="19">
        <v>2639</v>
      </c>
      <c r="Z69" s="19">
        <v>957</v>
      </c>
      <c r="AA69" s="19">
        <v>3596</v>
      </c>
    </row>
    <row r="70" spans="1:27" x14ac:dyDescent="0.3">
      <c r="A70" s="7" t="s">
        <v>210</v>
      </c>
      <c r="B70" s="4" t="s">
        <v>211</v>
      </c>
      <c r="C70" s="7">
        <v>77</v>
      </c>
      <c r="D70" s="5" t="s">
        <v>212</v>
      </c>
      <c r="E70" s="7" t="s">
        <v>213</v>
      </c>
      <c r="F70" s="11">
        <v>68.86</v>
      </c>
      <c r="G70" s="11">
        <v>77.540000000000006</v>
      </c>
      <c r="H70" s="7" t="s">
        <v>16</v>
      </c>
      <c r="I70" s="14" t="s">
        <v>220</v>
      </c>
      <c r="J70" s="17" t="s">
        <v>35</v>
      </c>
      <c r="K70" s="17" t="s">
        <v>35</v>
      </c>
      <c r="L70" s="17" t="s">
        <v>35</v>
      </c>
      <c r="M70" s="17" t="s">
        <v>35</v>
      </c>
      <c r="N70" s="17" t="s">
        <v>35</v>
      </c>
      <c r="O70" s="17" t="s">
        <v>35</v>
      </c>
      <c r="P70" s="17" t="s">
        <v>35</v>
      </c>
      <c r="Q70" s="17" t="s">
        <v>35</v>
      </c>
      <c r="R70" s="17" t="s">
        <v>35</v>
      </c>
      <c r="S70" s="17" t="s">
        <v>35</v>
      </c>
      <c r="T70" s="17" t="s">
        <v>35</v>
      </c>
      <c r="U70" s="17" t="s">
        <v>35</v>
      </c>
      <c r="V70" s="19">
        <v>1335</v>
      </c>
      <c r="W70" s="19">
        <v>592</v>
      </c>
      <c r="X70" s="18">
        <f t="shared" si="3"/>
        <v>1927</v>
      </c>
      <c r="Y70" s="19">
        <v>1356</v>
      </c>
      <c r="Z70" s="19">
        <v>590</v>
      </c>
      <c r="AA70" s="19">
        <v>1946</v>
      </c>
    </row>
    <row r="71" spans="1:27" x14ac:dyDescent="0.3">
      <c r="A71" s="7" t="s">
        <v>210</v>
      </c>
      <c r="B71" s="4" t="s">
        <v>211</v>
      </c>
      <c r="C71" s="7">
        <v>148.5</v>
      </c>
      <c r="D71" s="5" t="s">
        <v>214</v>
      </c>
      <c r="E71" s="7" t="s">
        <v>215</v>
      </c>
      <c r="F71" s="11">
        <v>146.1</v>
      </c>
      <c r="G71" s="11">
        <v>146.94999999999999</v>
      </c>
      <c r="H71" s="7" t="s">
        <v>16</v>
      </c>
      <c r="I71" s="14" t="s">
        <v>220</v>
      </c>
      <c r="J71" s="17" t="s">
        <v>35</v>
      </c>
      <c r="K71" s="17" t="s">
        <v>35</v>
      </c>
      <c r="L71" s="17" t="s">
        <v>35</v>
      </c>
      <c r="M71" s="17" t="s">
        <v>35</v>
      </c>
      <c r="N71" s="17" t="s">
        <v>35</v>
      </c>
      <c r="O71" s="17" t="s">
        <v>35</v>
      </c>
      <c r="P71" s="17" t="s">
        <v>35</v>
      </c>
      <c r="Q71" s="17" t="s">
        <v>35</v>
      </c>
      <c r="R71" s="17" t="s">
        <v>35</v>
      </c>
      <c r="S71" s="17" t="s">
        <v>35</v>
      </c>
      <c r="T71" s="17" t="s">
        <v>35</v>
      </c>
      <c r="U71" s="17" t="s">
        <v>35</v>
      </c>
      <c r="V71" s="19">
        <v>3567</v>
      </c>
      <c r="W71" s="19">
        <v>1559</v>
      </c>
      <c r="X71" s="18">
        <f t="shared" si="3"/>
        <v>5126</v>
      </c>
      <c r="Y71" s="19">
        <v>4072</v>
      </c>
      <c r="Z71" s="19">
        <v>1777</v>
      </c>
      <c r="AA71" s="19">
        <v>5849</v>
      </c>
    </row>
  </sheetData>
  <autoFilter ref="A2:AA71" xr:uid="{CE1EB199-F7CB-4AE4-938A-2B320E74FB83}"/>
  <mergeCells count="6">
    <mergeCell ref="Y1:AA1"/>
    <mergeCell ref="J1:L1"/>
    <mergeCell ref="M1:O1"/>
    <mergeCell ref="P1:R1"/>
    <mergeCell ref="S1:U1"/>
    <mergeCell ref="V1:X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VDM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Diretoria de Planejamento Power BI</dc:creator>
  <cp:keywords/>
  <dc:description/>
  <cp:lastModifiedBy>Coordenadoria de Estudo e Pesquisa</cp:lastModifiedBy>
  <cp:revision/>
  <dcterms:created xsi:type="dcterms:W3CDTF">2025-11-05T20:02:41Z</dcterms:created>
  <dcterms:modified xsi:type="dcterms:W3CDTF">2026-07-21T17:30:49Z</dcterms:modified>
  <cp:category/>
  <cp:contentStatus/>
</cp:coreProperties>
</file>