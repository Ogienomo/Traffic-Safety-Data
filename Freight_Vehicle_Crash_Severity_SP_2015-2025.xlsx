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_Dictionary" sheetId="2" state="visible" r:id="rId4"/>
    <sheet name="Annual_Series" sheetId="3" state="visible" r:id="rId5"/>
    <sheet name="Severity_Spectrum" sheetId="4" state="visible" r:id="rId6"/>
    <sheet name="Stat_Tests" sheetId="5" state="visible" r:id="rId7"/>
    <sheet name="Regression_Crash" sheetId="6" state="visible" r:id="rId8"/>
    <sheet name="Regression_Person" sheetId="7" state="visible" r:id="rId9"/>
    <sheet name="Truck_Victims" sheetId="8" state="visible" r:id="rId10"/>
    <sheet name="Yearly_Severity" sheetId="9" state="visible" r:id="rId11"/>
    <sheet name="Corridors" sheetId="10" state="visible" r:id="rId12"/>
    <sheet name="Municipalities" sheetId="11" state="visible" r:id="rId13"/>
    <sheet name="Crash_Types" sheetId="12" state="visible" r:id="rId14"/>
    <sheet name="Fleet_Vehicles" sheetId="13" state="visible" r:id="rId15"/>
    <sheet name="DER_SP_Data" sheetId="14" state="visible" r:id="rId16"/>
    <sheet name="Benchmarks" sheetId="15" state="visible" r:id="rId17"/>
    <sheet name="Sources" sheetId="16" state="visible" r:id="rId18"/>
    <sheet name="Review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<sst xmlns="http://schemas.openxmlformats.org/spreadsheetml/2006/main" count="704" uniqueCount="524">
  <si>
    <t xml:space="preserve">Freight Vehicle Involvement and Crash Severity in São Paulo State (2015–2025)</t>
  </si>
  <si>
    <t xml:space="preserve">About this workbook</t>
  </si>
  <si>
    <t xml:space="preserve">Data workbook for the article: 'Freight Vehicle Involvement and Crash Severity in São Paulo State: Evidence from Traffic-Safety Data'. It consolidates official crash microdata (INFOSIGA-SP / DETRAN-SP), population data (IBGE 2022 Census), road data (DER-SP) and verified literature benchmarks into analysis-ready tables with full source traceability.</t>
  </si>
  <si>
    <t xml:space="preserve">Core data sources</t>
  </si>
  <si>
    <t xml:space="preserve">1. INFOSIGA-SP open data (dadosabertos.sp.gov.br): monthly CSV microdata for crash events (sinistros), people involved (pessoas) and vehicles involved (veiculos), Jan 2015 – Dec 2025 — 396 files, 1,324,688 crash records, 1,793,339 person records, 1,566,306 vehicle records.</t>
  </si>
  <si>
    <t xml:space="preserve">2. IBGE 2022 Demographic Census (SIDRA table 4709): resident population of all 645 São Paulo State municipalities (44,411,238 inhabitants).</t>
  </si>
  <si>
    <t xml:space="preserve">3. IBGE population estimates (SIDRA table 6579 + Census 2022): annual state population 2015–2025 for mortality rates.</t>
  </si>
  <si>
    <t xml:space="preserve">4. DER-SP open data: VDM traffic volumes (2020–2025), crash statistics on the DER-administered network (2023–2025), state road network, and the official Anuário Rodoviário de Sinistralidade 2024.</t>
  </si>
  <si>
    <t xml:space="preserve">5. Published literature and official reports (ONSV, PRF, CNT, peer-reviewed studies): comparison benchmarks (see Benchmarks sheet).</t>
  </si>
  <si>
    <t xml:space="preserve">Analysis design — two data tiers</t>
  </si>
  <si>
    <t xml:space="preserve">Tier 1 (2015–2025, 11 years): INFOSIGA's fatal-crash series is complete and consistent across the whole period. Used for trends, corridor and municipal analyses of fatal crashes and deaths.</t>
  </si>
  <si>
    <t xml:space="preserve">Tier 2 (2019–2025, 7 years): the open-data series covers ALL crashes from 2019 onward (fatal + non-fatal + notifications). Used for crash-severity modelling (fatality rates, chi-square tests, logistic regressions).</t>
  </si>
  <si>
    <t xml:space="preserve">Definitions</t>
  </si>
  <si>
    <t xml:space="preserve">Freight vehicle (core): INFOSIGA category 'CAMINHÃO' (truck, all sizes). Heavy vehicle: truck or bus ('ÔNIBUS'). Light freight (pickups/vans) is NOT separately coded in INFOSIGA and falls under 'AUTOMÓVEL'/'OUTROS' — a documented data limitation.</t>
  </si>
  <si>
    <t xml:space="preserve">Crash severity: FATAL (death), GRAVE (serious injury), LEVE (minor injury), ILESO (uninjured). 'Fatal crash' = event with at least one death. NOTIFICACAO events (no coded severity) are excluded from severity analyses.</t>
  </si>
  <si>
    <t xml:space="preserve">Headline findings</t>
  </si>
  <si>
    <t xml:space="preserve">• 60,820 traffic deaths in 57,052 fatal crashes, 2015–2025. Trucks involved in 8,779 fatal crashes (15.4%) and 9,830 deaths (16.2%).</t>
  </si>
  <si>
    <t xml:space="preserve">• Truck-involved crashes are far more lethal: 11.1% of truck-involved crashes are fatal vs 3.7% without a truck (2019–2025) — crude OR = 3.27 (95% CI 3.18–3.37), adjusted OR = 2.55 (2.46–2.63) controlling for road type, other road users, bus involvement and year.</t>
  </si>
  <si>
    <t xml:space="preserve">• 12.5 deaths per 100 truck-involved crashes vs 3.9 without trucks. On highways, truck crashes kill at 16.9 per 100 crashes.</t>
  </si>
  <si>
    <t xml:space="preserve">• Mortality fell from 14.3 to 10.4 deaths/100k inhabitants (2015–2021), then reversed to 13.4 by 2024 — trucks' share stayed flat at ~15–16%.</t>
  </si>
  <si>
    <t xml:space="preserve">• Externality: 80.9% of those killed in truck-involved fatal crashes were NOT truck occupants (car occupants 31.6%, motorcyclists 28.7%, pedestrians 13.4%, cyclists 3.9%).</t>
  </si>
  <si>
    <t xml:space="preserve">• Deadliest corridors 2015–2025: BR-116 (1,555 fatal crashes; 31.2% truck-involved), SP-330 Anhanguera (1,290; 32.2%), SP-055, SP-270 Raposo Tavares, SP-310 (36.2% truck-involved).</t>
  </si>
  <si>
    <t xml:space="preserve">Known limitations</t>
  </si>
  <si>
    <t xml:space="preserve">1) 2015–2018 files contain fatal crashes only — severity-spectrum analyses restricted to 2019–2025. 2) Bicycle person records exist almost only for fatalities (2,616 fatal vs 150 non-fatal, 2019–2025); cyclists are excluded from the person-level fatality model. 3) Pickups/vans are not a separate INFOSIGA vehicle category. 4) 2025 data are the latest published monthly files and may still be revised. 5) The 2025 files show a jump in NOTIFICACAO-type events (88.1k vs 63.1k in 2024) — reporting-process artifact, does not affect fatal-crash analyses.</t>
  </si>
  <si>
    <t xml:space="preserve">Sheet guide</t>
  </si>
  <si>
    <t xml:space="preserve">Annual_Series — state trends 2015–2025 | Severity_Spectrum — severity by involvement group (2019–2025) | Stat_Tests — chi-square &amp; stratified | Regression_Crash / Regression_Person — logistic models | Truck_Victims — who dies in truck crashes | Yearly_Severity — fatality rate trends by group | Corridors — top highways | Municipalities — top 50 with IBGE population | Crash_Types — crash type × truck | Fleet_Vehicles — vehicles involved | DER_SP_Data — DER traffic volumes &amp; network crashes | Benchmarks — literature/official comparisons | Sources — full source registry | Review — integrity checks.</t>
  </si>
  <si>
    <t xml:space="preserve">Data Dictionary — INFOSIGA-SP fields and categories (PT → EN)</t>
  </si>
  <si>
    <t xml:space="preserve">Field</t>
  </si>
  <si>
    <t xml:space="preserve">Source table</t>
  </si>
  <si>
    <t xml:space="preserve">Description (EN)</t>
  </si>
  <si>
    <t xml:space="preserve">Values</t>
  </si>
  <si>
    <t xml:space="preserve">id_sinistro</t>
  </si>
  <si>
    <t xml:space="preserve">Sinistros / Pessoas / Veiculos</t>
  </si>
  <si>
    <t xml:space="preserve">Crash event ID (links the three tables)</t>
  </si>
  <si>
    <t xml:space="preserve">e.g., 2478813</t>
  </si>
  <si>
    <t xml:space="preserve">tipo_registro</t>
  </si>
  <si>
    <t xml:space="preserve">Sinistros</t>
  </si>
  <si>
    <t xml:space="preserve">Record type</t>
  </si>
  <si>
    <t xml:space="preserve">SINISTRO FATAL (fatal) / SINISTRO NAO FATAL (injury) / NOTIFICACAO (notification, no coded severity)</t>
  </si>
  <si>
    <t xml:space="preserve">tipo_via</t>
  </si>
  <si>
    <t xml:space="preserve">Sinistros / Pessoas</t>
  </si>
  <si>
    <t xml:space="preserve">Road type</t>
  </si>
  <si>
    <t xml:space="preserve">VIAS URBANAS (urban streets) / ESTRADAS E RODOVIAS (highways &amp; roads) / NAO DISPONIVEL</t>
  </si>
  <si>
    <t xml:space="preserve">qtd_caminhao</t>
  </si>
  <si>
    <t xml:space="preserve">Number of trucks involved in the crash</t>
  </si>
  <si>
    <t xml:space="preserve">0–N</t>
  </si>
  <si>
    <t xml:space="preserve">qtd_onibus</t>
  </si>
  <si>
    <t xml:space="preserve">Number of buses involved in the crash</t>
  </si>
  <si>
    <t xml:space="preserve">qtd_automovel / qtd_motocicleta / qtd_bicicleta / qtd_pedestre</t>
  </si>
  <si>
    <t xml:space="preserve">Number of cars / motorcycles / bicycles / pedestrians involved</t>
  </si>
  <si>
    <t xml:space="preserve">qtd_gravidade_fatal</t>
  </si>
  <si>
    <t xml:space="preserve">Deaths in the crash</t>
  </si>
  <si>
    <t xml:space="preserve">qtd_gravidade_grave / leve / ileso</t>
  </si>
  <si>
    <t xml:space="preserve">Seriously injured / slightly injured / uninjured persons in the crash</t>
  </si>
  <si>
    <t xml:space="preserve">tp_sinistro_primario</t>
  </si>
  <si>
    <t xml:space="preserve">Primary crash type</t>
  </si>
  <si>
    <t xml:space="preserve">COLISAO, CHOQUE, ATROPELAMENTO, CAPOTAMENTO, ENGAVETAMENTO, TOMBAMENTO, OUTROS</t>
  </si>
  <si>
    <t xml:space="preserve">logradouro</t>
  </si>
  <si>
    <t xml:space="preserve">Road/street name (highways as 'BR 116', 'SP 330'...)</t>
  </si>
  <si>
    <t xml:space="preserve">text</t>
  </si>
  <si>
    <t xml:space="preserve">rodovia_cod (derived)</t>
  </si>
  <si>
    <t xml:space="preserve">Normalized highway code extracted from logradouro</t>
  </si>
  <si>
    <t xml:space="preserve">BR-116, SP-330, ...</t>
  </si>
  <si>
    <t xml:space="preserve">cod_ibge / municipio</t>
  </si>
  <si>
    <t xml:space="preserve">IBGE municipality code and name</t>
  </si>
  <si>
    <t xml:space="preserve">3550308 / SAO PAULO</t>
  </si>
  <si>
    <t xml:space="preserve">administracao</t>
  </si>
  <si>
    <t xml:space="preserve">Road administration</t>
  </si>
  <si>
    <t xml:space="preserve">PREFEITURA (municipal) / DER / CONCESSIONÁRIA (concessionaire) / DNIT (federal)</t>
  </si>
  <si>
    <t xml:space="preserve">gravidade_lesao</t>
  </si>
  <si>
    <t xml:space="preserve">Pessoas</t>
  </si>
  <si>
    <t xml:space="preserve">Injury severity of the person</t>
  </si>
  <si>
    <t xml:space="preserve">FATAL / GRAVE (serious) / LEVE (minor) / ILESO (uninjured) / NAO DISPONIVEL</t>
  </si>
  <si>
    <t xml:space="preserve">tipo_veiculo_vitima</t>
  </si>
  <si>
    <t xml:space="preserve">Vehicle of the victim (empty for pedestrians)</t>
  </si>
  <si>
    <t xml:space="preserve">AUTOMOVEL, MOTOCICLETA, CAMINHAO, ONIBUS, BICICLETA, OUTROS</t>
  </si>
  <si>
    <t xml:space="preserve">modo_transporte_vitima</t>
  </si>
  <si>
    <t xml:space="preserve">Victim transport mode (incl. PEDESTRE)</t>
  </si>
  <si>
    <t xml:space="preserve">AUTOMOVEL, MOTOCICLETA, CAMINHAO, ONIBUS, BICICLETA, PEDESTRE, OUTROS</t>
  </si>
  <si>
    <t xml:space="preserve">tipo_de_vitima</t>
  </si>
  <si>
    <t xml:space="preserve">Victim role</t>
  </si>
  <si>
    <t xml:space="preserve">CONDUTOR (driver) / PASSAGEIRO (passenger) / PEDESTRE (pedestrian)</t>
  </si>
  <si>
    <t xml:space="preserve">idade / sexo</t>
  </si>
  <si>
    <t xml:space="preserve">Age (years) and sex</t>
  </si>
  <si>
    <t xml:space="preserve">numeric / MASCULINO-FEMININO</t>
  </si>
  <si>
    <t xml:space="preserve">tipo_veiculo</t>
  </si>
  <si>
    <t xml:space="preserve">Veiculos</t>
  </si>
  <si>
    <t xml:space="preserve">Vehicle type of each vehicle involved</t>
  </si>
  <si>
    <t xml:space="preserve">marca_modelo / ano_fab / ano_modelo</t>
  </si>
  <si>
    <t xml:space="preserve">Make-model, manufacture/model year</t>
  </si>
  <si>
    <t xml:space="preserve">text / year</t>
  </si>
  <si>
    <t xml:space="preserve">Source: INFOSIGA-SP data dictionary and observed values; see Sources sheet for dataset URLs.</t>
  </si>
  <si>
    <t xml:space="preserve">Derived flags used in this workbook: envolve_caminhao (qtd_caminhao &gt; 0), envolve_onibus (qtd_onibus &gt; 0), envolve_pesado (truck or bus &gt; 0).</t>
  </si>
  <si>
    <t xml:space="preserve">São Paulo State — Fatal Crash Series, 2015–2025 (INFOSIGA-SP)</t>
  </si>
  <si>
    <t xml:space="preserve">Year</t>
  </si>
  <si>
    <t xml:space="preserve">Fatal crashes</t>
  </si>
  <si>
    <t xml:space="preserve">Deaths</t>
  </si>
  <si>
    <t xml:space="preserve">Truck-involved fatal crashes</t>
  </si>
  <si>
    <t xml:space="preserve">Truck-involved deaths</t>
  </si>
  <si>
    <t xml:space="preserve">Heavy-vehicle fatal crashes</t>
  </si>
  <si>
    <t xml:space="preserve">Heavy-vehicle deaths</t>
  </si>
  <si>
    <t xml:space="preserve">Bus-involved fatal crashes</t>
  </si>
  <si>
    <t xml:space="preserve">Highway fatal crashes</t>
  </si>
  <si>
    <t xml:space="preserve">Urban-street fatal crashes</t>
  </si>
  <si>
    <t xml:space="preserve">Truck fatal — highway</t>
  </si>
  <si>
    <t xml:space="preserve">Truck fatal — urban</t>
  </si>
  <si>
    <t xml:space="preserve">Population</t>
  </si>
  <si>
    <t xml:space="preserve">Deaths per 100k inhab.</t>
  </si>
  <si>
    <t xml:space="preserve">Truck % of fatal crashes</t>
  </si>
  <si>
    <t xml:space="preserve">Truck % of deaths</t>
  </si>
  <si>
    <t xml:space="preserve">Heavy veh. % of fatal crashes</t>
  </si>
  <si>
    <t xml:space="preserve">Deaths per fatal crash</t>
  </si>
  <si>
    <t xml:space="preserve">Deaths per truck fatal crash</t>
  </si>
  <si>
    <t xml:space="preserve">Total</t>
  </si>
  <si>
    <t xml:space="preserve">Population: IBGE annual estimates (t.6579); 2022 = Census 2022; 2023 = interpolated (Census 2022–2024 estimate).</t>
  </si>
  <si>
    <t xml:space="preserve">Fatal crashes 2015–2025 form a consistent series (INFOSIGA registers every crash with at least one death).</t>
  </si>
  <si>
    <t xml:space="preserve">Truck = INFOSIGA category CAMINHÃO; heavy vehicle = truck or bus (ÔNIBUS).</t>
  </si>
  <si>
    <t xml:space="preserve">Crash Severity by Vehicle Involvement — Crashes with Victims, 2019–2025</t>
  </si>
  <si>
    <t xml:space="preserve">Crash group</t>
  </si>
  <si>
    <t xml:space="preserve">Crashes</t>
  </si>
  <si>
    <t xml:space="preserve">Serious injuries</t>
  </si>
  <si>
    <t xml:space="preserve">Minor injuries</t>
  </si>
  <si>
    <t xml:space="preserve">Uninjured</t>
  </si>
  <si>
    <t xml:space="preserve">Fatal-crash rate (%)</t>
  </si>
  <si>
    <t xml:space="preserve">Deaths per 100 crashes</t>
  </si>
  <si>
    <t xml:space="preserve">Victims per crash</t>
  </si>
  <si>
    <t xml:space="preserve">All crashes w/ victims</t>
  </si>
  <si>
    <t xml:space="preserve">Truck-involved</t>
  </si>
  <si>
    <t xml:space="preserve">No truck</t>
  </si>
  <si>
    <t xml:space="preserve">Bus-involved</t>
  </si>
  <si>
    <t xml:space="preserve">Heavy vehicle (truck or bus)</t>
  </si>
  <si>
    <t xml:space="preserve">No heavy vehicle</t>
  </si>
  <si>
    <t xml:space="preserve">Truck — highway</t>
  </si>
  <si>
    <t xml:space="preserve">Truck — urban street</t>
  </si>
  <si>
    <t xml:space="preserve">No truck — highway</t>
  </si>
  <si>
    <t xml:space="preserve">No truck — urban street</t>
  </si>
  <si>
    <t xml:space="preserve">Motorcycle-involved</t>
  </si>
  <si>
    <t xml:space="preserve">Pedestrian-involved</t>
  </si>
  <si>
    <t xml:space="preserve">Bicycle-involved</t>
  </si>
  <si>
    <t xml:space="preserve">Universe: crashes with victims (SINISTRO FATAL + SINISTRO NAO FATAL), 2019–2025, n = 870,477. NOTIFICACAO events excluded.</t>
  </si>
  <si>
    <t xml:space="preserve">Fatal-crash rate = share of crashes with at least one death. Deaths per 100 crashes = total deaths / crashes × 100.</t>
  </si>
  <si>
    <t xml:space="preserve">Association between Truck Involvement and Fatal Outcome</t>
  </si>
  <si>
    <t xml:space="preserve">Overall test (2019–2025, crashes with victims)</t>
  </si>
  <si>
    <t xml:space="preserve">Test</t>
  </si>
  <si>
    <t xml:space="preserve">Chi-square</t>
  </si>
  <si>
    <t xml:space="preserve">df</t>
  </si>
  <si>
    <t xml:space="preserve">p-value</t>
  </si>
  <si>
    <t xml:space="preserve">Odds ratio (fatal | truck)</t>
  </si>
  <si>
    <t xml:space="preserve">95% CI low</t>
  </si>
  <si>
    <t xml:space="preserve">95% CI high</t>
  </si>
  <si>
    <t xml:space="preserve">Fatal rate — no truck (%)</t>
  </si>
  <si>
    <t xml:space="preserve">Fatal rate — truck (%)</t>
  </si>
  <si>
    <t xml:space="preserve">Fatal crash x truck involvement (2019-2025)</t>
  </si>
  <si>
    <t xml:space="preserve">&lt; 0.001</t>
  </si>
  <si>
    <t xml:space="preserve">Stratified by road type</t>
  </si>
  <si>
    <t xml:space="preserve">Stratum</t>
  </si>
  <si>
    <t xml:space="preserve">Crashes (n)</t>
  </si>
  <si>
    <t xml:space="preserve">Odds ratio</t>
  </si>
  <si>
    <t xml:space="preserve">Highways</t>
  </si>
  <si>
    <t xml:space="preserve">Urban streets</t>
  </si>
  <si>
    <t xml:space="preserve">Interpretation: truck involvement triples the odds of a fatal outcome overall (OR = 3.27). The association persists within road types —</t>
  </si>
  <si>
    <t xml:space="preserve">on urban streets (OR = 2.84) and on highways (OR = 2.02) — confirming that the truck effect is not only a road-type composition effect.</t>
  </si>
  <si>
    <t xml:space="preserve">Chi-square tests of independence; odds ratios with Woolf 95% confidence intervals. All p &lt; 0.001.</t>
  </si>
  <si>
    <t xml:space="preserve">Logistic Regression — Probability a Crash Is Fatal (crash-level, 2019–2025)</t>
  </si>
  <si>
    <t xml:space="preserve">Predictor</t>
  </si>
  <si>
    <t xml:space="preserve">Coefficient</t>
  </si>
  <si>
    <t xml:space="preserve">n (crashes)</t>
  </si>
  <si>
    <t xml:space="preserve">Intercept</t>
  </si>
  <si>
    <t xml:space="preserve">Truck involved</t>
  </si>
  <si>
    <t xml:space="preserve">Bus involved</t>
  </si>
  <si>
    <t xml:space="preserve">Motorcycle involved</t>
  </si>
  <si>
    <t xml:space="preserve">Pedestrian involved</t>
  </si>
  <si>
    <t xml:space="preserve">Bicycle involved</t>
  </si>
  <si>
    <t xml:space="preserve">Highway (vs urban street)</t>
  </si>
  <si>
    <t xml:space="preserve">Year (per year since 2019)</t>
  </si>
  <si>
    <t xml:space="preserve">Model: logit(P(crash fatal)) = β0 + β1·truck + β2·bus + β3·motorcycle + β4·pedestrian + β5·bicycle + β6·highway + β7·year.</t>
  </si>
  <si>
    <t xml:space="preserve">Universe: 868,443 crashes with victims on urban streets or highways, 2019–2025. Reference: crash without the given involvement, urban street, 2019.</t>
  </si>
  <si>
    <t xml:space="preserve">Reading: a truck-involved crash has 2.55× the odds of being fatal compared with an otherwise identical crash without a truck.</t>
  </si>
  <si>
    <t xml:space="preserve">Highway context is the strongest contextual predictor (OR = 3.83); pedestrian involvement the strongest road-user predictor (OR = 5.52).</t>
  </si>
  <si>
    <t xml:space="preserve">Logistic Regression — Probability a Victim Dies (person-level, 2019–2025)</t>
  </si>
  <si>
    <t xml:space="preserve">n (persons)</t>
  </si>
  <si>
    <t xml:space="preserve">Victim travelling in truck</t>
  </si>
  <si>
    <t xml:space="preserve">Victim travelling in bus</t>
  </si>
  <si>
    <t xml:space="preserve">Victim on motorcycle</t>
  </si>
  <si>
    <t xml:space="preserve">Victim is pedestrian</t>
  </si>
  <si>
    <t xml:space="preserve">Age (per year)</t>
  </si>
  <si>
    <t xml:space="preserve">Model: logit(P(victim dies)) = β0 + β1·truck + β2·bus + β3·motorcycle + β4·pedestrian + β5·age.</t>
  </si>
  <si>
    <t xml:space="preserve">Universe: 1,485,703 persons with coded severity (FATAL/GRAVE/LEVE/ILESO) in car, motorcycle, truck, bus or on foot, 2019–2025.</t>
  </si>
  <si>
    <t xml:space="preserve">Reference category: car occupant. Bus occupancy is protective (OR = 0.58); truck occupants (OR = 2.18) and motorcyclists (OR = 2.33) die more often than car occupants.</t>
  </si>
  <si>
    <t xml:space="preserve">Cyclists are excluded from the model: INFOSIGA records bicycle persons almost exclusively when killed (see README limitations).</t>
  </si>
  <si>
    <t xml:space="preserve">Who Dies in Truck-Involved Fatal Crashes (2015–2025)</t>
  </si>
  <si>
    <t xml:space="preserve">Deaths by victim transport mode — truck-involved fatal crashes, 2015–2025 (n = 9,830 deaths)</t>
  </si>
  <si>
    <t xml:space="preserve">Victim transport mode</t>
  </si>
  <si>
    <t xml:space="preserve">Share (%)</t>
  </si>
  <si>
    <t xml:space="preserve">Car occupants</t>
  </si>
  <si>
    <t xml:space="preserve">Motorcyclists</t>
  </si>
  <si>
    <t xml:space="preserve">Truck occupants</t>
  </si>
  <si>
    <t xml:space="preserve">Pedestrians</t>
  </si>
  <si>
    <t xml:space="preserve">Cyclists</t>
  </si>
  <si>
    <t xml:space="preserve">Bus occupants</t>
  </si>
  <si>
    <t xml:space="preserve">Not available</t>
  </si>
  <si>
    <t xml:space="preserve">Others</t>
  </si>
  <si>
    <t xml:space="preserve">Externality: 80.9% of those killed were not truck occupants.</t>
  </si>
  <si>
    <t xml:space="preserve">Vulnerable-road-user comparison: truck-involved vs all fatal crashes</t>
  </si>
  <si>
    <t xml:space="preserve">Context</t>
  </si>
  <si>
    <t xml:space="preserve">Total deaths</t>
  </si>
  <si>
    <t xml:space="preserve">All fatal crashes</t>
  </si>
  <si>
    <t xml:space="preserve">Pedestrians account for 13.4% of deaths in truck-involved fatal crashes vs 24.2% in all fatal crashes.</t>
  </si>
  <si>
    <t xml:space="preserve">Fatality Rate by Truck Involvement and Year (crashes with victims, 2019–2025)</t>
  </si>
  <si>
    <t xml:space="preserve">No truck — crashes</t>
  </si>
  <si>
    <t xml:space="preserve">Truck-involved — crashes</t>
  </si>
  <si>
    <t xml:space="preserve">No truck — fatal_crashes</t>
  </si>
  <si>
    <t xml:space="preserve">Truck-involved — fatal_crashes</t>
  </si>
  <si>
    <t xml:space="preserve">No truck — fatal rate (%)</t>
  </si>
  <si>
    <t xml:space="preserve">Truck-involved — fatal rate (%)</t>
  </si>
  <si>
    <t xml:space="preserve">The truck fatality penalty is stable across all seven years (truck-involved crashes are ~2.5–3.5× more likely to be fatal every year).</t>
  </si>
  <si>
    <t xml:space="preserve">Deadliest Highway Corridors — Fatal Crashes, 2015–2025 (top 30)</t>
  </si>
  <si>
    <t xml:space="preserve">Highway</t>
  </si>
  <si>
    <t xml:space="preserve">Network</t>
  </si>
  <si>
    <t xml:space="preserve">Truck share of fatal crashes (%)</t>
  </si>
  <si>
    <t xml:space="preserve">BR-116</t>
  </si>
  <si>
    <t xml:space="preserve">Federal (BR)</t>
  </si>
  <si>
    <t xml:space="preserve">SP-330</t>
  </si>
  <si>
    <t xml:space="preserve">State (SP)</t>
  </si>
  <si>
    <t xml:space="preserve">SP-055</t>
  </si>
  <si>
    <t xml:space="preserve">SP-270</t>
  </si>
  <si>
    <t xml:space="preserve">SP-310</t>
  </si>
  <si>
    <t xml:space="preserve">SP-300</t>
  </si>
  <si>
    <t xml:space="preserve">SP-280</t>
  </si>
  <si>
    <t xml:space="preserve">SP-348</t>
  </si>
  <si>
    <t xml:space="preserve">SP-075</t>
  </si>
  <si>
    <t xml:space="preserve">SP-070</t>
  </si>
  <si>
    <t xml:space="preserve">SP-160</t>
  </si>
  <si>
    <t xml:space="preserve">SP-065</t>
  </si>
  <si>
    <t xml:space="preserve">SP-294</t>
  </si>
  <si>
    <t xml:space="preserve">SP-021</t>
  </si>
  <si>
    <t xml:space="preserve">SP-304</t>
  </si>
  <si>
    <t xml:space="preserve">SP-425</t>
  </si>
  <si>
    <t xml:space="preserve">SP-150</t>
  </si>
  <si>
    <t xml:space="preserve">SP-255</t>
  </si>
  <si>
    <t xml:space="preserve">SP-333</t>
  </si>
  <si>
    <t xml:space="preserve">SP-340</t>
  </si>
  <si>
    <t xml:space="preserve">SP-332</t>
  </si>
  <si>
    <t xml:space="preserve">SP-127</t>
  </si>
  <si>
    <t xml:space="preserve">BR-381</t>
  </si>
  <si>
    <t xml:space="preserve">SP-225</t>
  </si>
  <si>
    <t xml:space="preserve">SP-250</t>
  </si>
  <si>
    <t xml:space="preserve">BR-153</t>
  </si>
  <si>
    <t xml:space="preserve">SP-322</t>
  </si>
  <si>
    <t xml:space="preserve">SP-320</t>
  </si>
  <si>
    <t xml:space="preserve">SP-101</t>
  </si>
  <si>
    <t xml:space="preserve">SP-079</t>
  </si>
  <si>
    <t xml:space="preserve">Highway codes extracted from INFOSIGA 'logradouro'; BR = federal network, SP = state network.</t>
  </si>
  <si>
    <t xml:space="preserve">Totals cover the top-30 corridors only. SP-310, SP-330 and SP-280 — the inter-regional freight corridors highlighted in the PLI-SP 2050 framework — all show truck involvement above 32%.</t>
  </si>
  <si>
    <t xml:space="preserve">Top 50 Municipalities by Traffic Deaths — Fatal Crashes 2015–2025 vs IBGE Census 2022</t>
  </si>
  <si>
    <t xml:space="preserve">IBGE code</t>
  </si>
  <si>
    <t xml:space="preserve">Municipality</t>
  </si>
  <si>
    <t xml:space="preserve">Population 2022</t>
  </si>
  <si>
    <t xml:space="preserve">Deaths/100k (11-yr)</t>
  </si>
  <si>
    <t xml:space="preserve">Truck share (%)</t>
  </si>
  <si>
    <t xml:space="preserve">São Paulo</t>
  </si>
  <si>
    <t xml:space="preserve">Campinas</t>
  </si>
  <si>
    <t xml:space="preserve">Guarulhos</t>
  </si>
  <si>
    <t xml:space="preserve">Sorocaba</t>
  </si>
  <si>
    <t xml:space="preserve">São Bernardo do Campo</t>
  </si>
  <si>
    <t xml:space="preserve">Ribeirão Preto</t>
  </si>
  <si>
    <t xml:space="preserve">São José dos Campos</t>
  </si>
  <si>
    <t xml:space="preserve">Jundiaí</t>
  </si>
  <si>
    <t xml:space="preserve">São José do Rio Preto</t>
  </si>
  <si>
    <t xml:space="preserve">Mogi das Cruzes</t>
  </si>
  <si>
    <t xml:space="preserve">Piracicaba</t>
  </si>
  <si>
    <t xml:space="preserve">Osasco</t>
  </si>
  <si>
    <t xml:space="preserve">Santo André</t>
  </si>
  <si>
    <t xml:space="preserve">Limeira</t>
  </si>
  <si>
    <t xml:space="preserve">Praia Grande</t>
  </si>
  <si>
    <t xml:space="preserve">Santos</t>
  </si>
  <si>
    <t xml:space="preserve">Bauru</t>
  </si>
  <si>
    <t xml:space="preserve">São Vicente</t>
  </si>
  <si>
    <t xml:space="preserve">Franca</t>
  </si>
  <si>
    <t xml:space="preserve">Taubaté</t>
  </si>
  <si>
    <t xml:space="preserve">Itaquaquecetuba</t>
  </si>
  <si>
    <t xml:space="preserve">Itu</t>
  </si>
  <si>
    <t xml:space="preserve">Barueri</t>
  </si>
  <si>
    <t xml:space="preserve">Araraquara</t>
  </si>
  <si>
    <t xml:space="preserve">Guarujá</t>
  </si>
  <si>
    <t xml:space="preserve">Diadema</t>
  </si>
  <si>
    <t xml:space="preserve">Bragança Paulista</t>
  </si>
  <si>
    <t xml:space="preserve">Cotia</t>
  </si>
  <si>
    <t xml:space="preserve">Jacareí</t>
  </si>
  <si>
    <t xml:space="preserve">Sumaré</t>
  </si>
  <si>
    <t xml:space="preserve">São Carlos</t>
  </si>
  <si>
    <t xml:space="preserve">Pindamonhangaba</t>
  </si>
  <si>
    <t xml:space="preserve">Itapetininga</t>
  </si>
  <si>
    <t xml:space="preserve">Marília</t>
  </si>
  <si>
    <t xml:space="preserve">Atibaia</t>
  </si>
  <si>
    <t xml:space="preserve">Araçatuba</t>
  </si>
  <si>
    <t xml:space="preserve">Indaiatuba</t>
  </si>
  <si>
    <t xml:space="preserve">Cubatão</t>
  </si>
  <si>
    <t xml:space="preserve">Rio Claro</t>
  </si>
  <si>
    <t xml:space="preserve">Mauá</t>
  </si>
  <si>
    <t xml:space="preserve">Carapicuíba</t>
  </si>
  <si>
    <t xml:space="preserve">Americana</t>
  </si>
  <si>
    <t xml:space="preserve">Itapecerica da Serra</t>
  </si>
  <si>
    <t xml:space="preserve">Suzano</t>
  </si>
  <si>
    <t xml:space="preserve">Presidente Prudente</t>
  </si>
  <si>
    <t xml:space="preserve">Mogi Guaçu</t>
  </si>
  <si>
    <t xml:space="preserve">Embu das Artes</t>
  </si>
  <si>
    <t xml:space="preserve">Itanhaém</t>
  </si>
  <si>
    <t xml:space="preserve">Barretos</t>
  </si>
  <si>
    <t xml:space="preserve">Jaú</t>
  </si>
  <si>
    <t xml:space="preserve">Deaths/100k (11-yr) = deaths 2015–2025 per 100,000 inhabitants (Census 2022 denominator) — a cumulative, not annual, rate.</t>
  </si>
  <si>
    <t xml:space="preserve">The full 639-municipality table is provided as companion CSV 11b_municipalities_all.csv.</t>
  </si>
  <si>
    <t xml:space="preserve">Fatal Crashes by Crash Type and Truck Involvement, 2015–2025</t>
  </si>
  <si>
    <t xml:space="preserve">Crash type</t>
  </si>
  <si>
    <t xml:space="preserve">Collision (other)</t>
  </si>
  <si>
    <t xml:space="preserve">Pedestrian run-over</t>
  </si>
  <si>
    <t xml:space="preserve">Impact with fixed object</t>
  </si>
  <si>
    <t xml:space="preserve">Crash types per INFOSIGA primary classification. 'Impact with fixed object' (CHOQUE) includes single-vehicle impacts.</t>
  </si>
  <si>
    <t xml:space="preserve">Overturning/rollover (TOMBAMENTO/CAPOTAMENTO) and pile-ups (ENGAVETAMENTO) are markedly truck-heavy crash types.</t>
  </si>
  <si>
    <t xml:space="preserve">Vehicles Involved in Recorded Crashes by Type and Year (INFOSIGA 'veiculos' table)</t>
  </si>
  <si>
    <t xml:space="preserve">AUTOMOVEL</t>
  </si>
  <si>
    <t xml:space="preserve">BICICLETA</t>
  </si>
  <si>
    <t xml:space="preserve">CAMINHAO</t>
  </si>
  <si>
    <t xml:space="preserve">MOTOCICLETA</t>
  </si>
  <si>
    <t xml:space="preserve">ONIBUS</t>
  </si>
  <si>
    <t xml:space="preserve">OUTROS</t>
  </si>
  <si>
    <t xml:space="preserve">2015–2018 rows cover fatal crashes only (series limitation); 2019+ cover all recorded crashes.</t>
  </si>
  <si>
    <t xml:space="preserve">Vehicles, not fleet: these are vehicles involved in crashes — a crash-severity exposure proxy, not vehicle registration.</t>
  </si>
  <si>
    <t xml:space="preserve">DER-SP Open Data — Traffic Volumes, Road Network and Highway Crashes</t>
  </si>
  <si>
    <t xml:space="preserve">A. Fatal crashes by road administration (INFOSIGA, 2015–2025)</t>
  </si>
  <si>
    <t xml:space="preserve">Fatal crashes 2015–2025</t>
  </si>
  <si>
    <t xml:space="preserve">PREFEITURA</t>
  </si>
  <si>
    <t xml:space="preserve">CONCESSIONÁRIA</t>
  </si>
  <si>
    <t xml:space="preserve">DER</t>
  </si>
  <si>
    <t xml:space="preserve">NAO DISPONIVEL</t>
  </si>
  <si>
    <t xml:space="preserve">DNIT</t>
  </si>
  <si>
    <t xml:space="preserve">PREFEITURA = municipal streets; DER = state-administered highways; CONCESSIONÁRIA = privatised state highways; DNIT = federal roads.</t>
  </si>
  <si>
    <t xml:space="preserve">B. Average daily traffic (VDM) — DER-administered state highway sample</t>
  </si>
  <si>
    <t xml:space="preserve">Segments with data</t>
  </si>
  <si>
    <t xml:space="preserve">Mean AADT (all vehicles)</t>
  </si>
  <si>
    <t xml:space="preserve">Mean AADT (passenger cars)</t>
  </si>
  <si>
    <t xml:space="preserve">Mean AADT (commercial vehicles)</t>
  </si>
  <si>
    <t xml:space="preserve">Commercial share of traffic (%)</t>
  </si>
  <si>
    <t xml:space="preserve">Source: DER-SP VDM 2024 (annual values per monitored segment). Segment coverage changed from 35 to 68 segments in 2024 — interpret trends with care.</t>
  </si>
  <si>
    <t xml:space="preserve">Commercial vehicles rose from 9.8% to 14.6% of monitored traffic between 2020 and 2025 — freight exposure on the DER network is growing.</t>
  </si>
  <si>
    <t xml:space="preserve">C. Top 10 DER segments by commercial-vehicle traffic, 2024</t>
  </si>
  <si>
    <t xml:space="preserve">Highway name</t>
  </si>
  <si>
    <t xml:space="preserve">Segment</t>
  </si>
  <si>
    <t xml:space="preserve">AADT 2024</t>
  </si>
  <si>
    <t xml:space="preserve">Commercial AADT</t>
  </si>
  <si>
    <t xml:space="preserve">Commercial share (%)</t>
  </si>
  <si>
    <t xml:space="preserve">SP270</t>
  </si>
  <si>
    <t xml:space="preserve">Raposo Tavares</t>
  </si>
  <si>
    <t xml:space="preserve">Cotia-São Paulo</t>
  </si>
  <si>
    <t xml:space="preserve">SP304</t>
  </si>
  <si>
    <t xml:space="preserve">Dep.Leônidas Pachêco Ferreira</t>
  </si>
  <si>
    <t xml:space="preserve">Americana-Piracicaba</t>
  </si>
  <si>
    <t xml:space="preserve">SP354</t>
  </si>
  <si>
    <t xml:space="preserve">Edgar Maximo Zambotto</t>
  </si>
  <si>
    <t xml:space="preserve">Campo Limpo Paulista -Jarinu</t>
  </si>
  <si>
    <t xml:space="preserve">SP088</t>
  </si>
  <si>
    <t xml:space="preserve">Pedro Eroles</t>
  </si>
  <si>
    <t xml:space="preserve">Mogi das Cruzes-São Paulo</t>
  </si>
  <si>
    <t xml:space="preserve">SP320</t>
  </si>
  <si>
    <t xml:space="preserve">Euclides da Cunha</t>
  </si>
  <si>
    <t xml:space="preserve">Tanabi-Votuporanga</t>
  </si>
  <si>
    <t xml:space="preserve">Fernandópolis-Votuporanga</t>
  </si>
  <si>
    <t xml:space="preserve">SP055</t>
  </si>
  <si>
    <t xml:space="preserve">Luiz Salomão Chama</t>
  </si>
  <si>
    <t xml:space="preserve">Praia Grande-São Paulo</t>
  </si>
  <si>
    <t xml:space="preserve">Padre Manoel da Nobrega</t>
  </si>
  <si>
    <t xml:space="preserve">Itanhaem-Mongaguá</t>
  </si>
  <si>
    <t xml:space="preserve">Angatuba-Itapetininga</t>
  </si>
  <si>
    <t xml:space="preserve">Jales-Santa Fé do Sul</t>
  </si>
  <si>
    <t xml:space="preserve">D. Crashes on the DER-administered highway network (DER-SP open data)</t>
  </si>
  <si>
    <t xml:space="preserve">Crashes (all)</t>
  </si>
  <si>
    <t xml:space="preserve">Crashes with deaths</t>
  </si>
  <si>
    <t xml:space="preserve">DER-SP records cover only the non-conceded state network; conceded highways (ARTESP) and municipal streets are outside this scope.</t>
  </si>
  <si>
    <t xml:space="preserve">2025: 565 crashes with 671 deaths (classification of 'fatal crash' events changed in the 2025 file; counts derived from the Fatality column).</t>
  </si>
  <si>
    <t xml:space="preserve">Verified Benchmarks — Official Statistics and Published Literature</t>
  </si>
  <si>
    <t xml:space="preserve">Benchmark</t>
  </si>
  <si>
    <t xml:space="preserve">Value</t>
  </si>
  <si>
    <t xml:space="preserve">Source</t>
  </si>
  <si>
    <t xml:space="preserve">URL</t>
  </si>
  <si>
    <t xml:space="preserve">Notes</t>
  </si>
  <si>
    <t xml:space="preserve">Brazil — all traffic deaths, 2024</t>
  </si>
  <si>
    <t xml:space="preserve">37,150 deaths (+6.5% vs 2023)</t>
  </si>
  <si>
    <t xml:space="preserve">ONSV / SINESP (Observatório Nacional de Segurança Viária, Jan 2026)</t>
  </si>
  <si>
    <t xml:space="preserve">https://www.onsv.org.br/</t>
  </si>
  <si>
    <t xml:space="preserve">National context: Brazil is far from SDG/Vision Zero trajectories</t>
  </si>
  <si>
    <t xml:space="preserve">Brazil — federal highway deaths, 2025</t>
  </si>
  <si>
    <t xml:space="preserve">6,044 deaths on federal (BR) highways</t>
  </si>
  <si>
    <t xml:space="preserve">PRF (Polícia Rodoviária Federal), via ILOS summary</t>
  </si>
  <si>
    <t xml:space="preserve">https://www.gov.br/prf/</t>
  </si>
  <si>
    <t xml:space="preserve">PRF jurisdiction only (federal highways)</t>
  </si>
  <si>
    <t xml:space="preserve">Truck share of deaths — federal highways</t>
  </si>
  <si>
    <t xml:space="preserve">Trucks/cargo vehicles involved in ~44% of deaths on BR highways (514 of 1,172 in PRF 2026 carnival tally)</t>
  </si>
  <si>
    <t xml:space="preserve">PRF press release (Feb 2026), reported by Transporte Moderno / LexLegal</t>
  </si>
  <si>
    <t xml:space="preserve">https://transportemoderno.com.br/</t>
  </si>
  <si>
    <t xml:space="preserve">Federal network carries long-haul freight — much higher truck share than São Paulo State overall (16.2%)</t>
  </si>
  <si>
    <t xml:space="preserve">Truck share of crashes — federal highways</t>
  </si>
  <si>
    <t xml:space="preserve">Trucks involved in ~20% of crashes on federal highways</t>
  </si>
  <si>
    <t xml:space="preserve">CNT — Confederação Nacional do Transporte, 'Acidentes Rodoviários com Caminhões'</t>
  </si>
  <si>
    <t xml:space="preserve">https://cnt.org.br/</t>
  </si>
  <si>
    <t xml:space="preserve">CNT analysis of PRF data</t>
  </si>
  <si>
    <t xml:space="preserve">VRU share of road deaths — São Paulo</t>
  </si>
  <si>
    <t xml:space="preserve">Vulnerable road users ≈ 35% of road deaths in São Paulo</t>
  </si>
  <si>
    <t xml:space="preserve">Isler &amp; Huang (2024), 'Developing accident frequency prediction models for urban roads: a case study in São Paulo, Brazil'</t>
  </si>
  <si>
    <t xml:space="preserve">https://www.sciencedirect.com/</t>
  </si>
  <si>
    <t xml:space="preserve">This study: pedestrians+cyclists = 30.8% of SP state deaths 2015–2025 (24.2% + 6.5%)</t>
  </si>
  <si>
    <t xml:space="preserve">SP state road network crash totals, 2024</t>
  </si>
  <si>
    <t xml:space="preserve">2,056 fatal crashes; 20,065 injury crashes; 7,072 property-damage-only (DER + conceded state network)</t>
  </si>
  <si>
    <t xml:space="preserve">DER-SP, Anuário Rodoviário de Sinistralidade 2024</t>
  </si>
  <si>
    <t xml:space="preserve">https://dadosabertos.sp.gov.br/</t>
  </si>
  <si>
    <t xml:space="preserve">Anuário cites INFOSIGA — consistent with this workbook's INFOSIGA base</t>
  </si>
  <si>
    <t xml:space="preserve">SP state road network fatality index, 2024</t>
  </si>
  <si>
    <t xml:space="preserve">1.51 fatal-crash deaths per 100k inhabitants (state road network)</t>
  </si>
  <si>
    <t xml:space="preserve">This study: whole-state rate 13.44/100k (all roads)</t>
  </si>
  <si>
    <t xml:space="preserve">Crash costs — DER network, 2024</t>
  </si>
  <si>
    <t xml:space="preserve">~R$ 2.5 billion total; fatal crashes dominate the remainder</t>
  </si>
  <si>
    <t xml:space="preserve">Economic rationale for severity-focused policy</t>
  </si>
  <si>
    <t xml:space="preserve">DER-SP institutional target</t>
  </si>
  <si>
    <t xml:space="preserve">Reduce fatal victims by 50% (Vision-Zero-type goal); UPS severity index = PDO×1 + injury×5 + fatal×13</t>
  </si>
  <si>
    <t xml:space="preserve">Policy target against which this study's findings can be read</t>
  </si>
  <si>
    <t xml:space="preserve">International contrast — large trucks</t>
  </si>
  <si>
    <t xml:space="preserve">Large trucks ≈ 4% of registered vehicles but ≈ 8% of fatal crashes (US)</t>
  </si>
  <si>
    <t xml:space="preserve">PMC — 'Classification of truck-involved crash severity: dealing with missing data'</t>
  </si>
  <si>
    <t xml:space="preserve">https://pmc.ncbi.nlm.nih.gov/</t>
  </si>
  <si>
    <t xml:space="preserve">In São Paulo State: trucks ≈ 15.4% of fatal crashes (2015–2025) — far higher involvement</t>
  </si>
  <si>
    <t xml:space="preserve">THIS STUDY — truck involvement, SP State</t>
  </si>
  <si>
    <t xml:space="preserve">Trucks in 15.4% of fatal crashes and 16.2% of deaths (2015–2025); 11.1% of truck-involved crashes are fatal vs 3.7% without trucks</t>
  </si>
  <si>
    <t xml:space="preserve">This workbook — INFOSIGA-SP microdata analysis</t>
  </si>
  <si>
    <t xml:space="preserve">https://dadosabertos.sp.gov.br/dataset/sinistros-infosiga</t>
  </si>
  <si>
    <t xml:space="preserve">Crude OR 3.27; adjusted OR 2.55 (95% CI 2.46–2.63)</t>
  </si>
  <si>
    <t xml:space="preserve">Source Registry — All Data Used, with Verification Links</t>
  </si>
  <si>
    <t xml:space="preserve">Dataset</t>
  </si>
  <si>
    <t xml:space="preserve">Producer</t>
  </si>
  <si>
    <t xml:space="preserve">Portal</t>
  </si>
  <si>
    <t xml:space="preserve">Format</t>
  </si>
  <si>
    <t xml:space="preserve">Coverage/Volume</t>
  </si>
  <si>
    <t xml:space="preserve">Access date</t>
  </si>
  <si>
    <t xml:space="preserve">License</t>
  </si>
  <si>
    <t xml:space="preserve">INFOSIGA-SP crash events (sinistros), monthly CSVs Jan 2015 – Dec 2025</t>
  </si>
  <si>
    <t xml:space="preserve">DETRAN-SP / INFOSIGA</t>
  </si>
  <si>
    <t xml:space="preserve">dadosabertos.sp.gov.br</t>
  </si>
  <si>
    <t xml:space="preserve">https://dadosabertos.sp.gov.br/dataset/eventos-de-sinistro</t>
  </si>
  <si>
    <t xml:space="preserve">CSV (132 files)</t>
  </si>
  <si>
    <t xml:space="preserve">1,324,688 crash events</t>
  </si>
  <si>
    <t xml:space="preserve">2026-08-26</t>
  </si>
  <si>
    <t xml:space="preserve">CC-BY-4.0</t>
  </si>
  <si>
    <t xml:space="preserve">INFOSIGA-SP people involved (pessoas), monthly CSVs Jan 2015 – Dec 2025</t>
  </si>
  <si>
    <t xml:space="preserve">https://dadosabertos.sp.gov.br/dataset/pessoas-envolvidas-em-sinistros</t>
  </si>
  <si>
    <t xml:space="preserve">1,793,339 person records</t>
  </si>
  <si>
    <t xml:space="preserve">INFOSIGA-SP vehicles involved (veiculos), monthly CSVs Jan 2015 – Dec 2025</t>
  </si>
  <si>
    <t xml:space="preserve">https://dadosabertos.sp.gov.br/dataset/veiculos-envolvidos-em-sinistros</t>
  </si>
  <si>
    <t xml:space="preserve">1,566,306 vehicle records</t>
  </si>
  <si>
    <t xml:space="preserve">INFOSIGA consolidated ZIP (for reference; monthly files used instead)</t>
  </si>
  <si>
    <t xml:space="preserve">ZIP</t>
  </si>
  <si>
    <t xml:space="preserve">Reference</t>
  </si>
  <si>
    <t xml:space="preserve">IBGE 2022 Census — resident population, all 645 SP municipalities</t>
  </si>
  <si>
    <t xml:space="preserve">IBGE</t>
  </si>
  <si>
    <t xml:space="preserve">SIDRA table 4709</t>
  </si>
  <si>
    <t xml:space="preserve">https://sidra.ibge.gov.br/tabela/4709</t>
  </si>
  <si>
    <t xml:space="preserve">API/CSV</t>
  </si>
  <si>
    <t xml:space="preserve">44,411,238 inhabitants</t>
  </si>
  <si>
    <t xml:space="preserve">Open</t>
  </si>
  <si>
    <t xml:space="preserve">IBGE annual population estimates, SP State 2015–2025</t>
  </si>
  <si>
    <t xml:space="preserve">SIDRA table 6579 (+Census 2022)</t>
  </si>
  <si>
    <t xml:space="preserve">https://sidra.ibge.gov.br/tabela/6579</t>
  </si>
  <si>
    <t xml:space="preserve">11 annual values</t>
  </si>
  <si>
    <t xml:space="preserve">DER-SP — Volume Diário Médio (VDM) 2020–2025</t>
  </si>
  <si>
    <t xml:space="preserve">DER-SP</t>
  </si>
  <si>
    <t xml:space="preserve">https://dadosabertos.sp.gov.br/dataset/volume-diario-medio-das-rodovias-vdm</t>
  </si>
  <si>
    <t xml:space="preserve">XLSX</t>
  </si>
  <si>
    <t xml:space="preserve">70 monitored segments</t>
  </si>
  <si>
    <t xml:space="preserve">DER-SP — Sinistros on DER-administered network, 2023–2025</t>
  </si>
  <si>
    <t xml:space="preserve">https://dadosabertos.sp.gov.br/dataset/acidentes</t>
  </si>
  <si>
    <t xml:space="preserve">XLSX (3 files)</t>
  </si>
  <si>
    <t xml:space="preserve">41,870 crashes</t>
  </si>
  <si>
    <t xml:space="preserve">DER-SP — Anuário Rodoviário de Sinistralidade 2024</t>
  </si>
  <si>
    <t xml:space="preserve">https://dadosabertos.sp.gov.br/dataset/anuario-rodoviario-de-acidentes</t>
  </si>
  <si>
    <t xml:space="preserve">PDF</t>
  </si>
  <si>
    <t xml:space="preserve">Official annual report</t>
  </si>
  <si>
    <t xml:space="preserve">DER-SP — State road network (Sistema Rodoviário Estadual)</t>
  </si>
  <si>
    <t xml:space="preserve">https://dadosabertos.sp.gov.br/dataset/sistema-rodoviario-estadual</t>
  </si>
  <si>
    <t xml:space="preserve">XLSX/SHP</t>
  </si>
  <si>
    <t xml:space="preserve">Network reference</t>
  </si>
  <si>
    <t xml:space="preserve">ONSV — 2024 national traffic-death estimate</t>
  </si>
  <si>
    <t xml:space="preserve">ONSV</t>
  </si>
  <si>
    <t xml:space="preserve">onsv.org.br</t>
  </si>
  <si>
    <t xml:space="preserve">Report</t>
  </si>
  <si>
    <t xml:space="preserve">37,150 deaths (2024)</t>
  </si>
  <si>
    <t xml:space="preserve">Public</t>
  </si>
  <si>
    <t xml:space="preserve">PRF federal-highway statistics (press-reported 2025/2026 figures)</t>
  </si>
  <si>
    <t xml:space="preserve">PRF</t>
  </si>
  <si>
    <t xml:space="preserve">gov.br / press</t>
  </si>
  <si>
    <t xml:space="preserve">Press</t>
  </si>
  <si>
    <t xml:space="preserve">Benchmarks</t>
  </si>
  <si>
    <t xml:space="preserve">CNT — Acidentes Rodoviários com Caminhões</t>
  </si>
  <si>
    <t xml:space="preserve">CNT</t>
  </si>
  <si>
    <t xml:space="preserve">cnt.org.br</t>
  </si>
  <si>
    <t xml:space="preserve">Isler &amp; Huang (2024) — crash-frequency models, São Paulo urban roads</t>
  </si>
  <si>
    <t xml:space="preserve">ScienceDirect</t>
  </si>
  <si>
    <t xml:space="preserve">sciencedirect.com</t>
  </si>
  <si>
    <t xml:space="preserve">Paper</t>
  </si>
  <si>
    <t xml:space="preserve">VRU benchmark</t>
  </si>
  <si>
    <t xml:space="preserve">Integrity Review — Cross-Validation of Workbook Figures</t>
  </si>
  <si>
    <t xml:space="preserve">Check</t>
  </si>
  <si>
    <t xml:space="preserve">Expected (analysis pipeline)</t>
  </si>
  <si>
    <t xml:space="preserve">Actual (workbook formula)</t>
  </si>
  <si>
    <t xml:space="preserve">Status</t>
  </si>
  <si>
    <t xml:space="preserve">Total fatal crashes 2015–2025 (Annual_Series sum)</t>
  </si>
  <si>
    <t xml:space="preserve">Total deaths 2015–2025 (Annual_Series sum)</t>
  </si>
  <si>
    <t xml:space="preserve">Truck-involved fatal crashes (Annual_Series sum)</t>
  </si>
  <si>
    <t xml:space="preserve">Truck-involved deaths (Annual_Series sum)</t>
  </si>
  <si>
    <t xml:space="preserve">Crashes with victims 2019–2025 (Severity_Spectrum 'All' row)</t>
  </si>
  <si>
    <t xml:space="preserve">Fatal crashes 2019–2025 (Severity_Spectrum 'All' row)</t>
  </si>
  <si>
    <t xml:space="preserve">Deaths 2019–2025 (Severity_Spectrum 'All' row)</t>
  </si>
  <si>
    <t xml:space="preserve">Corridor table: top-30 fatal-crash total</t>
  </si>
  <si>
    <t xml:space="preserve">Municipal top-50: deaths total</t>
  </si>
  <si>
    <t xml:space="preserve">Regression crash-level n</t>
  </si>
  <si>
    <t xml:space="preserve">Regression person-level n</t>
  </si>
  <si>
    <t xml:space="preserve">Expected values are computed by the analysis pipeline (scripts/analyze_infosiga.py) from the raw INFOSIGA microdata;</t>
  </si>
  <si>
    <t xml:space="preserve">Actual values are live formulas referencing the workbook tables. All rows must read PASS.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</si>
</sst>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0"/>
    <numFmt numFmtId="167" formatCode="0.00"/>
    <numFmt numFmtId="168" formatCode="0.0"/>
    <numFmt numFmtId="169" formatCode="0.000"/>
    <numFmt numFmtId="170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b val="true"/>
      <sz val="12"/>
      <color rgb="FF1B2A4A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9"/>
      <color rgb="FF8C8A84"/>
      <name val="Noto Sans CJK SC"/>
      <family val="0"/>
      <charset val="1"/>
    </font>
    <font>
      <sz val="11"/>
      <color rgb="FF1B2A4A"/>
      <name val="Noto Sans CJK SC"/>
      <family val="0"/>
      <charset val="1"/>
    </font>
    <font>
      <sz val="12"/>
      <color rgb="FF000000"/>
      <name val="Noto Sans CJK SC"/>
      <family val="2"/>
    </font>
    <font>
      <sz val="10"/>
      <color rgb="FF000000"/>
      <name val="Calibri"/>
      <family val="2"/>
    </font>
    <font>
      <sz val="10"/>
      <color rgb="FF00000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9F9F9"/>
      </patternFill>
    </fill>
    <fill>
      <patternFill patternType="solid">
        <fgColor rgb="FFF7F7F5"/>
        <bgColor rgb="FFF9F9F9"/>
      </patternFill>
    </fill>
    <fill>
      <patternFill patternType="solid">
        <fgColor rgb="FFD6E4F0"/>
        <bgColor rgb="FFE9E9E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  <border diagonalUp="false" diagonalDown="false">
      <left/>
      <right/>
      <top style="medium">
        <color rgb="FFE9E9E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78787"/>
      <rgbColor rgb="FF9999FF"/>
      <rgbColor rgb="FF993366"/>
      <rgbColor rgb="FFF7F7F5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9E8"/>
      <rgbColor rgb="FFF9F9F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D4820A"/>
      <rgbColor rgb="FFFF6600"/>
      <rgbColor rgb="FF4F81BD"/>
      <rgbColor rgb="FF8C8A84"/>
      <rgbColor rgb="FF1B2A4A"/>
      <rgbColor rgb="FF339966"/>
      <rgbColor rgb="FF003300"/>
      <rgbColor rgb="FF333300"/>
      <rgbColor rgb="FFC0392B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200" strike="noStrike" u="none">
                <a:solidFill>
                  <a:srgbClr val="000000"/>
                </a:solidFill>
                <a:uFillTx/>
                <a:latin typeface="Noto Sans CJK SC"/>
                <a:ea typeface="Noto Sans CJK SC"/>
              </a:rPr>
              <a:t>Traffic deaths per 100,000 inhabitants — São Paulo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Annual_Series!O4</c:f>
              <c:strCache>
                <c:ptCount val="1"/>
                <c:pt idx="0">
                  <c:v>Deaths per 100k inhab.</c:v>
                </c:pt>
              </c:strCache>
            </c:strRef>
          </c:tx>
          <c:spPr>
            <a:solidFill>
              <a:srgbClr val="1b2a4a"/>
            </a:solidFill>
            <a:ln w="47520">
              <a:solidFill>
                <a:srgbClr val="1b2a4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Annual_Series!$B$5:$B$15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Annual_Series!$O$5:$O$15</c:f>
              <c:numCache>
                <c:formatCode>0.00</c:formatCode>
                <c:ptCount val="11"/>
                <c:pt idx="0">
                  <c:v>14.25</c:v>
                </c:pt>
                <c:pt idx="1">
                  <c:v>12.83</c:v>
                </c:pt>
                <c:pt idx="2">
                  <c:v>11.99</c:v>
                </c:pt>
                <c:pt idx="3">
                  <c:v>11.5</c:v>
                </c:pt>
                <c:pt idx="4">
                  <c:v>11.26</c:v>
                </c:pt>
                <c:pt idx="5">
                  <c:v>10.46</c:v>
                </c:pt>
                <c:pt idx="6">
                  <c:v>10.41</c:v>
                </c:pt>
                <c:pt idx="7">
                  <c:v>12.26</c:v>
                </c:pt>
                <c:pt idx="8">
                  <c:v>12.15</c:v>
                </c:pt>
                <c:pt idx="9">
                  <c:v>13.44</c:v>
                </c:pt>
                <c:pt idx="10">
                  <c:v>13.29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16355"/>
        <c:axId val="54694803"/>
      </c:lineChart>
      <c:catAx>
        <c:axId val="38163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1000" strike="noStrike" u="non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694803"/>
        <c:crosses val="autoZero"/>
        <c:auto val="1"/>
        <c:lblAlgn val="ctr"/>
        <c:lblOffset val="100"/>
        <c:noMultiLvlLbl val="0"/>
      </c:catAx>
      <c:valAx>
        <c:axId val="546948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1000" strike="noStrike" u="non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Deaths / 100k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163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200" strike="noStrike" u="none">
                <a:solidFill>
                  <a:srgbClr val="000000"/>
                </a:solidFill>
                <a:uFillTx/>
                <a:latin typeface="Noto Sans CJK SC"/>
                <a:ea typeface="Noto Sans CJK SC"/>
              </a:rPr>
              <a:t>Truck share of fatal crashes and deaths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Annual_Series!P4</c:f>
              <c:strCache>
                <c:ptCount val="1"/>
                <c:pt idx="0">
                  <c:v>Truck % of fatal crashes</c:v>
                </c:pt>
              </c:strCache>
            </c:strRef>
          </c:tx>
          <c:spPr>
            <a:solidFill>
              <a:srgbClr val="1b2a4a"/>
            </a:solidFill>
            <a:ln w="47520">
              <a:solidFill>
                <a:srgbClr val="1b2a4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Annual_Series!$B$5:$B$15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Annual_Series!$P$5:$P$15</c:f>
              <c:numCache>
                <c:formatCode>0.0</c:formatCode>
                <c:ptCount val="11"/>
                <c:pt idx="0">
                  <c:v>15.3</c:v>
                </c:pt>
                <c:pt idx="1">
                  <c:v>15.2</c:v>
                </c:pt>
                <c:pt idx="2">
                  <c:v>14.5</c:v>
                </c:pt>
                <c:pt idx="3">
                  <c:v>14.9</c:v>
                </c:pt>
                <c:pt idx="4">
                  <c:v>15.4</c:v>
                </c:pt>
                <c:pt idx="5">
                  <c:v>15.5</c:v>
                </c:pt>
                <c:pt idx="6">
                  <c:v>16.1</c:v>
                </c:pt>
                <c:pt idx="7">
                  <c:v>15.9</c:v>
                </c:pt>
                <c:pt idx="8">
                  <c:v>15.3</c:v>
                </c:pt>
                <c:pt idx="9">
                  <c:v>15.4</c:v>
                </c:pt>
                <c:pt idx="10">
                  <c:v>15.8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Annual_Series!Q4</c:f>
              <c:strCache>
                <c:ptCount val="1"/>
                <c:pt idx="0">
                  <c:v>Truck % of deaths</c:v>
                </c:pt>
              </c:strCache>
            </c:strRef>
          </c:tx>
          <c:spPr>
            <a:solidFill>
              <a:srgbClr val="1b7d46"/>
            </a:solidFill>
            <a:ln w="47520">
              <a:solidFill>
                <a:srgbClr val="1b7d4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Annual_Series!$B$5:$B$15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Annual_Series!$Q$5:$Q$15</c:f>
              <c:numCache>
                <c:formatCode>0.0</c:formatCode>
                <c:ptCount val="11"/>
                <c:pt idx="0">
                  <c:v>16.2</c:v>
                </c:pt>
                <c:pt idx="1">
                  <c:v>15.5</c:v>
                </c:pt>
                <c:pt idx="2">
                  <c:v>15.3</c:v>
                </c:pt>
                <c:pt idx="3">
                  <c:v>15.7</c:v>
                </c:pt>
                <c:pt idx="4">
                  <c:v>16.3</c:v>
                </c:pt>
                <c:pt idx="5">
                  <c:v>17.2</c:v>
                </c:pt>
                <c:pt idx="6">
                  <c:v>16.8</c:v>
                </c:pt>
                <c:pt idx="7">
                  <c:v>16.3</c:v>
                </c:pt>
                <c:pt idx="8">
                  <c:v>15.8</c:v>
                </c:pt>
                <c:pt idx="9">
                  <c:v>16.1</c:v>
                </c:pt>
                <c:pt idx="10">
                  <c:v>16.7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472121"/>
        <c:axId val="73294212"/>
      </c:lineChart>
      <c:catAx>
        <c:axId val="914721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1000" strike="noStrike" u="non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294212"/>
        <c:crosses val="autoZero"/>
        <c:auto val="1"/>
        <c:lblAlgn val="ctr"/>
        <c:lblOffset val="100"/>
        <c:noMultiLvlLbl val="0"/>
      </c:catAx>
      <c:valAx>
        <c:axId val="732942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1000" strike="noStrike" u="non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Share 
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4721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200" strike="noStrike" u="none">
                <a:solidFill>
                  <a:srgbClr val="000000"/>
                </a:solidFill>
                <a:uFillTx/>
                <a:latin typeface="Noto Sans CJK SC"/>
                <a:ea typeface="Noto Sans CJK SC"/>
              </a:rPr>
              <a:t>Share of crashes that are fatal, by involvement group (2019–2025)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Severity_Spectrum!I4</c:f>
              <c:strCache>
                <c:ptCount val="1"/>
                <c:pt idx="0">
                  <c:v>Fatal-crash rate (%)</c:v>
                </c:pt>
              </c:strCache>
            </c:strRef>
          </c:tx>
          <c:spPr>
            <a:solidFill>
              <a:srgbClr val="1b2a4a"/>
            </a:solidFill>
            <a:ln w="9360">
              <a:solidFill>
                <a:srgbClr val="1b2a4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1b2a4a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Severity_Spectrum!$B$5:$B$17</c:f>
              <c:strCache>
                <c:ptCount val="13"/>
                <c:pt idx="0">
                  <c:v>All crashes w/ victims</c:v>
                </c:pt>
                <c:pt idx="1">
                  <c:v>Truck-involved</c:v>
                </c:pt>
                <c:pt idx="2">
                  <c:v>No truck</c:v>
                </c:pt>
                <c:pt idx="3">
                  <c:v>Bus-involved</c:v>
                </c:pt>
                <c:pt idx="4">
                  <c:v>Heavy vehicle (truck or bus)</c:v>
                </c:pt>
                <c:pt idx="5">
                  <c:v>No heavy vehicle</c:v>
                </c:pt>
                <c:pt idx="6">
                  <c:v>Truck — highway</c:v>
                </c:pt>
                <c:pt idx="7">
                  <c:v>Truck — urban street</c:v>
                </c:pt>
                <c:pt idx="8">
                  <c:v>No truck — highway</c:v>
                </c:pt>
                <c:pt idx="9">
                  <c:v>No truck — urban street</c:v>
                </c:pt>
                <c:pt idx="10">
                  <c:v>Motorcycle-involved</c:v>
                </c:pt>
                <c:pt idx="11">
                  <c:v>Pedestrian-involved</c:v>
                </c:pt>
                <c:pt idx="12">
                  <c:v>Bicycle-involved</c:v>
                </c:pt>
              </c:strCache>
            </c:strRef>
          </c:cat>
          <c:val>
            <c:numRef>
              <c:f>Severity_Spectrum!$I$5:$I$17</c:f>
              <c:numCache>
                <c:formatCode>0.00</c:formatCode>
                <c:ptCount val="13"/>
                <c:pt idx="0">
                  <c:v>4.12</c:v>
                </c:pt>
                <c:pt idx="1">
                  <c:v>11.14</c:v>
                </c:pt>
                <c:pt idx="2">
                  <c:v>3.69</c:v>
                </c:pt>
                <c:pt idx="3">
                  <c:v>6.82</c:v>
                </c:pt>
                <c:pt idx="4">
                  <c:v>9.48</c:v>
                </c:pt>
                <c:pt idx="5">
                  <c:v>3.57</c:v>
                </c:pt>
                <c:pt idx="6">
                  <c:v>14.75</c:v>
                </c:pt>
                <c:pt idx="7">
                  <c:v>7.02</c:v>
                </c:pt>
                <c:pt idx="8">
                  <c:v>7.88</c:v>
                </c:pt>
                <c:pt idx="9">
                  <c:v>2.82</c:v>
                </c:pt>
                <c:pt idx="10">
                  <c:v>3.26</c:v>
                </c:pt>
                <c:pt idx="11">
                  <c:v>12.95</c:v>
                </c:pt>
                <c:pt idx="12">
                  <c:v>8.06</c:v>
                </c:pt>
              </c:numCache>
            </c:numRef>
          </c:val>
        </c:ser>
        <c:gapWidth val="80"/>
        <c:overlap val="100"/>
        <c:axId val="22414025"/>
        <c:axId val="74490655"/>
      </c:barChart>
      <c:catAx>
        <c:axId val="2241402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1000" strike="noStrike" u="non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490655"/>
        <c:crosses val="autoZero"/>
        <c:auto val="1"/>
        <c:lblAlgn val="ctr"/>
        <c:lblOffset val="100"/>
        <c:noMultiLvlLbl val="0"/>
      </c:catAx>
      <c:valAx>
        <c:axId val="74490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1000" strike="noStrike" u="non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% fatal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4140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200" strike="noStrike" u="none">
                <a:solidFill>
                  <a:srgbClr val="000000"/>
                </a:solidFill>
                <a:uFillTx/>
                <a:latin typeface="Noto Sans CJK SC"/>
                <a:ea typeface="Noto Sans CJK SC"/>
              </a:rPr>
              <a:t>Deaths in truck-involved fatal crashes by victim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Truck_Victims!C5</c:f>
              <c:strCache>
                <c:ptCount val="1"/>
                <c:pt idx="0">
                  <c:v>Deaths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1b2a4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1b7d4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d4820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c0392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8c8a8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1b2a4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1b7d4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d4820a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0"/>
            <c:showSerName val="1"/>
            <c:showPercent val="1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</c:dLbls>
          <c:cat>
            <c:strRef>
              <c:f>Truck_Victims!$B$6:$B$13</c:f>
              <c:strCache>
                <c:ptCount val="8"/>
                <c:pt idx="0">
                  <c:v>Car occupants</c:v>
                </c:pt>
                <c:pt idx="1">
                  <c:v>Motorcyclists</c:v>
                </c:pt>
                <c:pt idx="2">
                  <c:v>Truck occupants</c:v>
                </c:pt>
                <c:pt idx="3">
                  <c:v>Pedestrians</c:v>
                </c:pt>
                <c:pt idx="4">
                  <c:v>Cyclists</c:v>
                </c:pt>
                <c:pt idx="5">
                  <c:v>Bus occupants</c:v>
                </c:pt>
                <c:pt idx="6">
                  <c:v>Not available</c:v>
                </c:pt>
                <c:pt idx="7">
                  <c:v>Others</c:v>
                </c:pt>
              </c:strCache>
            </c:strRef>
          </c:cat>
          <c:val>
            <c:numRef>
              <c:f>Truck_Victims!$C$6:$C$13</c:f>
              <c:numCache>
                <c:formatCode>#,##0</c:formatCode>
                <c:ptCount val="8"/>
                <c:pt idx="0">
                  <c:v>3111</c:v>
                </c:pt>
                <c:pt idx="1">
                  <c:v>2817</c:v>
                </c:pt>
                <c:pt idx="2">
                  <c:v>1877</c:v>
                </c:pt>
                <c:pt idx="3">
                  <c:v>1313</c:v>
                </c:pt>
                <c:pt idx="4">
                  <c:v>382</c:v>
                </c:pt>
                <c:pt idx="5">
                  <c:v>196</c:v>
                </c:pt>
                <c:pt idx="6">
                  <c:v>92</c:v>
                </c:pt>
                <c:pt idx="7">
                  <c:v>42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200" strike="noStrike" u="none">
                <a:solidFill>
                  <a:srgbClr val="000000"/>
                </a:solidFill>
                <a:uFillTx/>
                <a:latin typeface="Noto Sans CJK SC"/>
                <a:ea typeface="Noto Sans CJK SC"/>
              </a:rPr>
              <a:t>Fatal-crash rate (%) by truck involvement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Yearly_Severity!H4</c:f>
              <c:strCache>
                <c:ptCount val="1"/>
                <c:pt idx="0">
                  <c:v>Truck-involved — fatal rate (%)</c:v>
                </c:pt>
              </c:strCache>
            </c:strRef>
          </c:tx>
          <c:spPr>
            <a:solidFill>
              <a:srgbClr val="1b2a4a"/>
            </a:solidFill>
            <a:ln w="47520">
              <a:solidFill>
                <a:srgbClr val="1b2a4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Yearly_Severity!$B$5:$B$11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Yearly_Severity!$H$5:$H$11</c:f>
              <c:numCache>
                <c:formatCode>0.00</c:formatCode>
                <c:ptCount val="7"/>
                <c:pt idx="0">
                  <c:v>10.93</c:v>
                </c:pt>
                <c:pt idx="1">
                  <c:v>10.14</c:v>
                </c:pt>
                <c:pt idx="2">
                  <c:v>9.96</c:v>
                </c:pt>
                <c:pt idx="3">
                  <c:v>10.99</c:v>
                </c:pt>
                <c:pt idx="4">
                  <c:v>10.3</c:v>
                </c:pt>
                <c:pt idx="5">
                  <c:v>11.78</c:v>
                </c:pt>
                <c:pt idx="6">
                  <c:v>14.2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Yearly_Severity!G4</c:f>
              <c:strCache>
                <c:ptCount val="1"/>
                <c:pt idx="0">
                  <c:v>No truck — fatal rate (%)</c:v>
                </c:pt>
              </c:strCache>
            </c:strRef>
          </c:tx>
          <c:spPr>
            <a:solidFill>
              <a:srgbClr val="1b7d46"/>
            </a:solidFill>
            <a:ln w="47520">
              <a:solidFill>
                <a:srgbClr val="1b7d4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Yearly_Severity!$B$5:$B$11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Yearly_Severity!$G$5:$G$11</c:f>
              <c:numCache>
                <c:formatCode>0.00</c:formatCode>
                <c:ptCount val="7"/>
                <c:pt idx="0">
                  <c:v>3.55</c:v>
                </c:pt>
                <c:pt idx="1">
                  <c:v>3.55</c:v>
                </c:pt>
                <c:pt idx="2">
                  <c:v>3.25</c:v>
                </c:pt>
                <c:pt idx="3">
                  <c:v>3.5</c:v>
                </c:pt>
                <c:pt idx="4">
                  <c:v>3.3</c:v>
                </c:pt>
                <c:pt idx="5">
                  <c:v>3.86</c:v>
                </c:pt>
                <c:pt idx="6">
                  <c:v>5.09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59602"/>
        <c:axId val="5594840"/>
      </c:lineChart>
      <c:catAx>
        <c:axId val="11596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1000" strike="noStrike" u="non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94840"/>
        <c:crosses val="autoZero"/>
        <c:auto val="1"/>
        <c:lblAlgn val="ctr"/>
        <c:lblOffset val="100"/>
        <c:noMultiLvlLbl val="0"/>
      </c:catAx>
      <c:valAx>
        <c:axId val="55948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1000" strike="noStrike" u="non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% of crashes fatal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596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200" strike="noStrike" u="none">
                <a:solidFill>
                  <a:srgbClr val="000000"/>
                </a:solidFill>
                <a:uFillTx/>
                <a:latin typeface="Noto Sans CJK SC"/>
                <a:ea typeface="Noto Sans CJK SC"/>
              </a:rPr>
              <a:t>Top 10 corridors by fatal crashes (2015–2025)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Corridors!D4</c:f>
              <c:strCache>
                <c:ptCount val="1"/>
                <c:pt idx="0">
                  <c:v>Fatal crashes</c:v>
                </c:pt>
              </c:strCache>
            </c:strRef>
          </c:tx>
          <c:spPr>
            <a:solidFill>
              <a:srgbClr val="1b2a4a"/>
            </a:solidFill>
            <a:ln w="9360">
              <a:solidFill>
                <a:srgbClr val="1b2a4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1b2a4a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Corridors!$B$5:$B$14</c:f>
              <c:strCache>
                <c:ptCount val="10"/>
                <c:pt idx="0">
                  <c:v>BR-116</c:v>
                </c:pt>
                <c:pt idx="1">
                  <c:v>SP-330</c:v>
                </c:pt>
                <c:pt idx="2">
                  <c:v>SP-055</c:v>
                </c:pt>
                <c:pt idx="3">
                  <c:v>SP-270</c:v>
                </c:pt>
                <c:pt idx="4">
                  <c:v>SP-310</c:v>
                </c:pt>
                <c:pt idx="5">
                  <c:v>SP-300</c:v>
                </c:pt>
                <c:pt idx="6">
                  <c:v>SP-280</c:v>
                </c:pt>
                <c:pt idx="7">
                  <c:v>SP-348</c:v>
                </c:pt>
                <c:pt idx="8">
                  <c:v>SP-075</c:v>
                </c:pt>
                <c:pt idx="9">
                  <c:v>SP-070</c:v>
                </c:pt>
              </c:strCache>
            </c:strRef>
          </c:cat>
          <c:val>
            <c:numRef>
              <c:f>Corridors!$D$5:$D$14</c:f>
              <c:numCache>
                <c:formatCode>#,##0</c:formatCode>
                <c:ptCount val="10"/>
                <c:pt idx="0">
                  <c:v>1555</c:v>
                </c:pt>
                <c:pt idx="1">
                  <c:v>1290</c:v>
                </c:pt>
                <c:pt idx="2">
                  <c:v>1007</c:v>
                </c:pt>
                <c:pt idx="3">
                  <c:v>976</c:v>
                </c:pt>
                <c:pt idx="4">
                  <c:v>719</c:v>
                </c:pt>
                <c:pt idx="5">
                  <c:v>718</c:v>
                </c:pt>
                <c:pt idx="6">
                  <c:v>706</c:v>
                </c:pt>
                <c:pt idx="7">
                  <c:v>555</c:v>
                </c:pt>
                <c:pt idx="8">
                  <c:v>443</c:v>
                </c:pt>
                <c:pt idx="9">
                  <c:v>437</c:v>
                </c:pt>
              </c:numCache>
            </c:numRef>
          </c:val>
        </c:ser>
        <c:gapWidth val="80"/>
        <c:overlap val="100"/>
        <c:axId val="15962234"/>
        <c:axId val="68882413"/>
      </c:barChart>
      <c:catAx>
        <c:axId val="159622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882413"/>
        <c:crosses val="autoZero"/>
        <c:auto val="1"/>
        <c:lblAlgn val="ctr"/>
        <c:lblOffset val="100"/>
        <c:noMultiLvlLbl val="0"/>
      </c:catAx>
      <c:valAx>
        <c:axId val="688824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1000" strike="noStrike" u="none">
                    <a:solidFill>
                      <a:srgbClr val="000000"/>
                    </a:solidFill>
                    <a:uFillTx/>
                    <a:latin typeface="Noto Sans CJK SC"/>
                    <a:ea typeface="Noto Sans CJK SC"/>
                  </a:rPr>
                  <a:t>Fatal crashes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9622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0</xdr:rowOff>
    </xdr:from>
    <xdr:to>
      <xdr:col>7</xdr:col>
      <xdr:colOff>57960</xdr:colOff>
      <xdr:row>40</xdr:row>
      <xdr:rowOff>1080</xdr:rowOff>
    </xdr:to>
    <xdr:graphicFrame>
      <xdr:nvGraphicFramePr>
        <xdr:cNvPr id="0" name="Chart 1"/>
        <xdr:cNvGraphicFramePr/>
      </xdr:nvGraphicFramePr>
      <xdr:xfrm>
        <a:off x="211320" y="57340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23</xdr:row>
      <xdr:rowOff>0</xdr:rowOff>
    </xdr:from>
    <xdr:to>
      <xdr:col>19</xdr:col>
      <xdr:colOff>128520</xdr:colOff>
      <xdr:row>40</xdr:row>
      <xdr:rowOff>1080</xdr:rowOff>
    </xdr:to>
    <xdr:graphicFrame>
      <xdr:nvGraphicFramePr>
        <xdr:cNvPr id="1" name="Chart 2"/>
        <xdr:cNvGraphicFramePr/>
      </xdr:nvGraphicFramePr>
      <xdr:xfrm>
        <a:off x="10220400" y="57340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0</xdr:rowOff>
    </xdr:from>
    <xdr:to>
      <xdr:col>8</xdr:col>
      <xdr:colOff>198720</xdr:colOff>
      <xdr:row>45</xdr:row>
      <xdr:rowOff>128880</xdr:rowOff>
    </xdr:to>
    <xdr:graphicFrame>
      <xdr:nvGraphicFramePr>
        <xdr:cNvPr id="2" name="Chart 1"/>
        <xdr:cNvGraphicFramePr/>
      </xdr:nvGraphicFramePr>
      <xdr:xfrm>
        <a:off x="211320" y="5772240"/>
        <a:ext cx="61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0</xdr:rowOff>
    </xdr:from>
    <xdr:to>
      <xdr:col>11</xdr:col>
      <xdr:colOff>143640</xdr:colOff>
      <xdr:row>15</xdr:row>
      <xdr:rowOff>163080</xdr:rowOff>
    </xdr:to>
    <xdr:graphicFrame>
      <xdr:nvGraphicFramePr>
        <xdr:cNvPr id="3" name="Chart 1"/>
        <xdr:cNvGraphicFramePr/>
      </xdr:nvGraphicFramePr>
      <xdr:xfrm>
        <a:off x="6273000" y="87624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0</xdr:rowOff>
    </xdr:from>
    <xdr:to>
      <xdr:col>8</xdr:col>
      <xdr:colOff>191160</xdr:colOff>
      <xdr:row>33</xdr:row>
      <xdr:rowOff>1080</xdr:rowOff>
    </xdr:to>
    <xdr:graphicFrame>
      <xdr:nvGraphicFramePr>
        <xdr:cNvPr id="4" name="Chart 1"/>
        <xdr:cNvGraphicFramePr/>
      </xdr:nvGraphicFramePr>
      <xdr:xfrm>
        <a:off x="211320" y="39243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18</xdr:col>
      <xdr:colOff>255960</xdr:colOff>
      <xdr:row>15</xdr:row>
      <xdr:rowOff>208800</xdr:rowOff>
    </xdr:to>
    <xdr:graphicFrame>
      <xdr:nvGraphicFramePr>
        <xdr:cNvPr id="5" name="Chart 1"/>
        <xdr:cNvGraphicFramePr/>
      </xdr:nvGraphicFramePr>
      <xdr:xfrm>
        <a:off x="8505720" y="68580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6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24" hidden="false" customHeight="true" outlineLevel="0" collapsed="false">
      <c r="B4" s="2" t="s">
        <v>1</v>
      </c>
    </row>
    <row r="5" customFormat="false" ht="60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</row>
    <row r="6" customFormat="false" ht="18" hidden="false" customHeight="true" outlineLevel="0" collapsed="false">
      <c r="B6" s="3"/>
      <c r="C6" s="3"/>
      <c r="D6" s="3"/>
      <c r="E6" s="3"/>
      <c r="F6" s="3"/>
      <c r="G6" s="3"/>
      <c r="H6" s="3"/>
      <c r="I6" s="3"/>
    </row>
    <row r="7" customFormat="false" ht="24" hidden="false" customHeight="true" outlineLevel="0" collapsed="false">
      <c r="B7" s="2" t="s">
        <v>3</v>
      </c>
    </row>
    <row r="8" customFormat="false" ht="45" hidden="false" customHeight="true" outlineLevel="0" collapsed="false">
      <c r="B8" s="3" t="s">
        <v>4</v>
      </c>
      <c r="C8" s="3"/>
      <c r="D8" s="3"/>
      <c r="E8" s="3"/>
      <c r="F8" s="3"/>
      <c r="G8" s="3"/>
      <c r="H8" s="3"/>
      <c r="I8" s="3"/>
    </row>
    <row r="9" customFormat="false" ht="30" hidden="false" customHeight="true" outlineLevel="0" collapsed="false">
      <c r="B9" s="3" t="s">
        <v>5</v>
      </c>
      <c r="C9" s="3"/>
      <c r="D9" s="3"/>
      <c r="E9" s="3"/>
      <c r="F9" s="3"/>
      <c r="G9" s="3"/>
      <c r="H9" s="3"/>
      <c r="I9" s="3"/>
    </row>
    <row r="10" customFormat="false" ht="30" hidden="false" customHeight="true" outlineLevel="0" collapsed="false">
      <c r="B10" s="3" t="s">
        <v>6</v>
      </c>
      <c r="C10" s="3"/>
      <c r="D10" s="3"/>
      <c r="E10" s="3"/>
      <c r="F10" s="3"/>
      <c r="G10" s="3"/>
      <c r="H10" s="3"/>
      <c r="I10" s="3"/>
    </row>
    <row r="11" customFormat="false" ht="30" hidden="false" customHeight="true" outlineLevel="0" collapsed="false">
      <c r="B11" s="3" t="s">
        <v>7</v>
      </c>
      <c r="C11" s="3"/>
      <c r="D11" s="3"/>
      <c r="E11" s="3"/>
      <c r="F11" s="3"/>
      <c r="G11" s="3"/>
      <c r="H11" s="3"/>
      <c r="I11" s="3"/>
    </row>
    <row r="12" customFormat="false" ht="30" hidden="false" customHeight="true" outlineLevel="0" collapsed="false">
      <c r="B12" s="3" t="s">
        <v>8</v>
      </c>
      <c r="C12" s="3"/>
      <c r="D12" s="3"/>
      <c r="E12" s="3"/>
      <c r="F12" s="3"/>
      <c r="G12" s="3"/>
      <c r="H12" s="3"/>
      <c r="I12" s="3"/>
    </row>
    <row r="13" customFormat="false" ht="18" hidden="false" customHeight="true" outlineLevel="0" collapsed="false">
      <c r="B13" s="3"/>
      <c r="C13" s="3"/>
      <c r="D13" s="3"/>
      <c r="E13" s="3"/>
      <c r="F13" s="3"/>
      <c r="G13" s="3"/>
      <c r="H13" s="3"/>
      <c r="I13" s="3"/>
    </row>
    <row r="14" customFormat="false" ht="24" hidden="false" customHeight="true" outlineLevel="0" collapsed="false">
      <c r="B14" s="2" t="s">
        <v>9</v>
      </c>
    </row>
    <row r="15" customFormat="false" ht="30" hidden="false" customHeight="true" outlineLevel="0" collapsed="false">
      <c r="B15" s="3" t="s">
        <v>10</v>
      </c>
      <c r="C15" s="3"/>
      <c r="D15" s="3"/>
      <c r="E15" s="3"/>
      <c r="F15" s="3"/>
      <c r="G15" s="3"/>
      <c r="H15" s="3"/>
      <c r="I15" s="3"/>
    </row>
    <row r="16" customFormat="false" ht="30" hidden="false" customHeight="true" outlineLevel="0" collapsed="false">
      <c r="B16" s="3" t="s">
        <v>11</v>
      </c>
      <c r="C16" s="3"/>
      <c r="D16" s="3"/>
      <c r="E16" s="3"/>
      <c r="F16" s="3"/>
      <c r="G16" s="3"/>
      <c r="H16" s="3"/>
      <c r="I16" s="3"/>
    </row>
    <row r="17" customFormat="false" ht="18" hidden="false" customHeight="true" outlineLevel="0" collapsed="false">
      <c r="B17" s="3"/>
      <c r="C17" s="3"/>
      <c r="D17" s="3"/>
      <c r="E17" s="3"/>
      <c r="F17" s="3"/>
      <c r="G17" s="3"/>
      <c r="H17" s="3"/>
      <c r="I17" s="3"/>
    </row>
    <row r="18" customFormat="false" ht="24" hidden="false" customHeight="true" outlineLevel="0" collapsed="false">
      <c r="B18" s="2" t="s">
        <v>12</v>
      </c>
    </row>
    <row r="19" customFormat="false" ht="45" hidden="false" customHeight="true" outlineLevel="0" collapsed="false">
      <c r="B19" s="3" t="s">
        <v>13</v>
      </c>
      <c r="C19" s="3"/>
      <c r="D19" s="3"/>
      <c r="E19" s="3"/>
      <c r="F19" s="3"/>
      <c r="G19" s="3"/>
      <c r="H19" s="3"/>
      <c r="I19" s="3"/>
    </row>
    <row r="20" customFormat="false" ht="30" hidden="false" customHeight="true" outlineLevel="0" collapsed="false">
      <c r="B20" s="3" t="s">
        <v>14</v>
      </c>
      <c r="C20" s="3"/>
      <c r="D20" s="3"/>
      <c r="E20" s="3"/>
      <c r="F20" s="3"/>
      <c r="G20" s="3"/>
      <c r="H20" s="3"/>
      <c r="I20" s="3"/>
    </row>
    <row r="21" customFormat="false" ht="18" hidden="false" customHeight="true" outlineLevel="0" collapsed="false">
      <c r="B21" s="3"/>
      <c r="C21" s="3"/>
      <c r="D21" s="3"/>
      <c r="E21" s="3"/>
      <c r="F21" s="3"/>
      <c r="G21" s="3"/>
      <c r="H21" s="3"/>
      <c r="I21" s="3"/>
    </row>
    <row r="22" customFormat="false" ht="24" hidden="false" customHeight="true" outlineLevel="0" collapsed="false">
      <c r="B22" s="2" t="s">
        <v>15</v>
      </c>
    </row>
    <row r="23" customFormat="false" ht="30" hidden="false" customHeight="true" outlineLevel="0" collapsed="false">
      <c r="B23" s="3" t="s">
        <v>16</v>
      </c>
      <c r="C23" s="3"/>
      <c r="D23" s="3"/>
      <c r="E23" s="3"/>
      <c r="F23" s="3"/>
      <c r="G23" s="3"/>
      <c r="H23" s="3"/>
      <c r="I23" s="3"/>
    </row>
    <row r="24" customFormat="false" ht="45" hidden="false" customHeight="true" outlineLevel="0" collapsed="false">
      <c r="B24" s="3" t="s">
        <v>17</v>
      </c>
      <c r="C24" s="3"/>
      <c r="D24" s="3"/>
      <c r="E24" s="3"/>
      <c r="F24" s="3"/>
      <c r="G24" s="3"/>
      <c r="H24" s="3"/>
      <c r="I24" s="3"/>
    </row>
    <row r="25" customFormat="false" ht="30" hidden="false" customHeight="true" outlineLevel="0" collapsed="false">
      <c r="B25" s="3" t="s">
        <v>18</v>
      </c>
      <c r="C25" s="3"/>
      <c r="D25" s="3"/>
      <c r="E25" s="3"/>
      <c r="F25" s="3"/>
      <c r="G25" s="3"/>
      <c r="H25" s="3"/>
      <c r="I25" s="3"/>
    </row>
    <row r="26" customFormat="false" ht="30" hidden="false" customHeight="true" outlineLevel="0" collapsed="false">
      <c r="B26" s="3" t="s">
        <v>19</v>
      </c>
      <c r="C26" s="3"/>
      <c r="D26" s="3"/>
      <c r="E26" s="3"/>
      <c r="F26" s="3"/>
      <c r="G26" s="3"/>
      <c r="H26" s="3"/>
      <c r="I26" s="3"/>
    </row>
    <row r="27" customFormat="false" ht="30" hidden="false" customHeight="true" outlineLevel="0" collapsed="false">
      <c r="B27" s="3" t="s">
        <v>20</v>
      </c>
      <c r="C27" s="3"/>
      <c r="D27" s="3"/>
      <c r="E27" s="3"/>
      <c r="F27" s="3"/>
      <c r="G27" s="3"/>
      <c r="H27" s="3"/>
      <c r="I27" s="3"/>
    </row>
    <row r="28" customFormat="false" ht="30" hidden="false" customHeight="true" outlineLevel="0" collapsed="false">
      <c r="B28" s="3" t="s">
        <v>21</v>
      </c>
      <c r="C28" s="3"/>
      <c r="D28" s="3"/>
      <c r="E28" s="3"/>
      <c r="F28" s="3"/>
      <c r="G28" s="3"/>
      <c r="H28" s="3"/>
      <c r="I28" s="3"/>
    </row>
    <row r="29" customFormat="false" ht="18" hidden="false" customHeight="true" outlineLevel="0" collapsed="false">
      <c r="B29" s="3"/>
      <c r="C29" s="3"/>
      <c r="D29" s="3"/>
      <c r="E29" s="3"/>
      <c r="F29" s="3"/>
      <c r="G29" s="3"/>
      <c r="H29" s="3"/>
      <c r="I29" s="3"/>
    </row>
    <row r="30" customFormat="false" ht="24" hidden="false" customHeight="true" outlineLevel="0" collapsed="false">
      <c r="B30" s="2" t="s">
        <v>22</v>
      </c>
    </row>
    <row r="31" customFormat="false" ht="90" hidden="false" customHeight="true" outlineLevel="0" collapsed="false">
      <c r="B31" s="3" t="s">
        <v>23</v>
      </c>
      <c r="C31" s="3"/>
      <c r="D31" s="3"/>
      <c r="E31" s="3"/>
      <c r="F31" s="3"/>
      <c r="G31" s="3"/>
      <c r="H31" s="3"/>
      <c r="I31" s="3"/>
    </row>
    <row r="32" customFormat="false" ht="18" hidden="false" customHeight="true" outlineLevel="0" collapsed="false">
      <c r="B32" s="3"/>
      <c r="C32" s="3"/>
      <c r="D32" s="3"/>
      <c r="E32" s="3"/>
      <c r="F32" s="3"/>
      <c r="G32" s="3"/>
      <c r="H32" s="3"/>
      <c r="I32" s="3"/>
    </row>
    <row r="33" customFormat="false" ht="24" hidden="false" customHeight="true" outlineLevel="0" collapsed="false">
      <c r="B33" s="2" t="s">
        <v>24</v>
      </c>
    </row>
    <row r="34" customFormat="false" ht="90" hidden="false" customHeight="true" outlineLevel="0" collapsed="false">
      <c r="B34" s="3" t="s">
        <v>25</v>
      </c>
      <c r="C34" s="3"/>
      <c r="D34" s="3"/>
      <c r="E34" s="3"/>
      <c r="F34" s="3"/>
      <c r="G34" s="3"/>
      <c r="H34" s="3"/>
      <c r="I34" s="3"/>
    </row>
  </sheetData>
  <mergeCells count="25">
    <mergeCell ref="B2:H2"/>
    <mergeCell ref="B5:I5"/>
    <mergeCell ref="B6:I6"/>
    <mergeCell ref="B8:I8"/>
    <mergeCell ref="B9:I9"/>
    <mergeCell ref="B10:I10"/>
    <mergeCell ref="B11:I11"/>
    <mergeCell ref="B12:I12"/>
    <mergeCell ref="B13:I13"/>
    <mergeCell ref="B15:I15"/>
    <mergeCell ref="B16:I16"/>
    <mergeCell ref="B17:I17"/>
    <mergeCell ref="B19:I19"/>
    <mergeCell ref="B20:I20"/>
    <mergeCell ref="B21:I21"/>
    <mergeCell ref="B23:I23"/>
    <mergeCell ref="B24:I24"/>
    <mergeCell ref="B25:I25"/>
    <mergeCell ref="B26:I26"/>
    <mergeCell ref="B27:I27"/>
    <mergeCell ref="B28:I28"/>
    <mergeCell ref="B29:I29"/>
    <mergeCell ref="B31:I31"/>
    <mergeCell ref="B32:I32"/>
    <mergeCell ref="B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0"/>
    <col collapsed="false" customWidth="true" hidden="false" outlineLevel="0" max="3" min="3" style="0" width="32"/>
    <col collapsed="false" customWidth="true" hidden="false" outlineLevel="0" max="5" min="4" style="0" width="60"/>
    <col collapsed="false" customWidth="true" hidden="false" outlineLevel="0" max="6" min="6" style="0" width="10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26</v>
      </c>
      <c r="C2" s="1"/>
      <c r="D2" s="1"/>
      <c r="E2" s="1"/>
      <c r="F2" s="1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27</v>
      </c>
      <c r="C4" s="4" t="s">
        <v>28</v>
      </c>
      <c r="D4" s="4" t="s">
        <v>29</v>
      </c>
      <c r="E4" s="4" t="s">
        <v>30</v>
      </c>
    </row>
    <row r="5" customFormat="false" ht="21.75" hidden="false" customHeight="true" outlineLevel="0" collapsed="false">
      <c r="B5" s="5" t="s">
        <v>31</v>
      </c>
      <c r="C5" s="5" t="s">
        <v>32</v>
      </c>
      <c r="D5" s="5" t="s">
        <v>33</v>
      </c>
      <c r="E5" s="5" t="s">
        <v>34</v>
      </c>
    </row>
    <row r="6" customFormat="false" ht="21.75" hidden="false" customHeight="true" outlineLevel="0" collapsed="false">
      <c r="B6" s="6" t="s">
        <v>35</v>
      </c>
      <c r="C6" s="6" t="s">
        <v>36</v>
      </c>
      <c r="D6" s="6" t="s">
        <v>37</v>
      </c>
      <c r="E6" s="6" t="s">
        <v>38</v>
      </c>
    </row>
    <row r="7" customFormat="false" ht="21.75" hidden="false" customHeight="true" outlineLevel="0" collapsed="false">
      <c r="B7" s="5" t="s">
        <v>39</v>
      </c>
      <c r="C7" s="5" t="s">
        <v>40</v>
      </c>
      <c r="D7" s="5" t="s">
        <v>41</v>
      </c>
      <c r="E7" s="5" t="s">
        <v>42</v>
      </c>
    </row>
    <row r="8" customFormat="false" ht="21.75" hidden="false" customHeight="true" outlineLevel="0" collapsed="false">
      <c r="B8" s="6" t="s">
        <v>43</v>
      </c>
      <c r="C8" s="6" t="s">
        <v>36</v>
      </c>
      <c r="D8" s="6" t="s">
        <v>44</v>
      </c>
      <c r="E8" s="6" t="s">
        <v>45</v>
      </c>
    </row>
    <row r="9" customFormat="false" ht="21.75" hidden="false" customHeight="true" outlineLevel="0" collapsed="false">
      <c r="B9" s="5" t="s">
        <v>46</v>
      </c>
      <c r="C9" s="5" t="s">
        <v>36</v>
      </c>
      <c r="D9" s="5" t="s">
        <v>47</v>
      </c>
      <c r="E9" s="5" t="s">
        <v>45</v>
      </c>
    </row>
    <row r="10" customFormat="false" ht="21.75" hidden="false" customHeight="true" outlineLevel="0" collapsed="false">
      <c r="B10" s="6" t="s">
        <v>48</v>
      </c>
      <c r="C10" s="6" t="s">
        <v>36</v>
      </c>
      <c r="D10" s="6" t="s">
        <v>49</v>
      </c>
      <c r="E10" s="6" t="s">
        <v>45</v>
      </c>
    </row>
    <row r="11" customFormat="false" ht="21.75" hidden="false" customHeight="true" outlineLevel="0" collapsed="false">
      <c r="B11" s="5" t="s">
        <v>50</v>
      </c>
      <c r="C11" s="5" t="s">
        <v>36</v>
      </c>
      <c r="D11" s="5" t="s">
        <v>51</v>
      </c>
      <c r="E11" s="5" t="s">
        <v>45</v>
      </c>
    </row>
    <row r="12" customFormat="false" ht="21.75" hidden="false" customHeight="true" outlineLevel="0" collapsed="false">
      <c r="B12" s="6" t="s">
        <v>52</v>
      </c>
      <c r="C12" s="6" t="s">
        <v>36</v>
      </c>
      <c r="D12" s="6" t="s">
        <v>53</v>
      </c>
      <c r="E12" s="6" t="s">
        <v>45</v>
      </c>
    </row>
    <row r="13" customFormat="false" ht="21.75" hidden="false" customHeight="true" outlineLevel="0" collapsed="false">
      <c r="B13" s="5" t="s">
        <v>54</v>
      </c>
      <c r="C13" s="5" t="s">
        <v>36</v>
      </c>
      <c r="D13" s="5" t="s">
        <v>55</v>
      </c>
      <c r="E13" s="5" t="s">
        <v>56</v>
      </c>
    </row>
    <row r="14" customFormat="false" ht="21.75" hidden="false" customHeight="true" outlineLevel="0" collapsed="false">
      <c r="B14" s="6" t="s">
        <v>57</v>
      </c>
      <c r="C14" s="6" t="s">
        <v>36</v>
      </c>
      <c r="D14" s="6" t="s">
        <v>58</v>
      </c>
      <c r="E14" s="6" t="s">
        <v>59</v>
      </c>
    </row>
    <row r="15" customFormat="false" ht="21.75" hidden="false" customHeight="true" outlineLevel="0" collapsed="false">
      <c r="B15" s="5" t="s">
        <v>60</v>
      </c>
      <c r="C15" s="5" t="s">
        <v>36</v>
      </c>
      <c r="D15" s="5" t="s">
        <v>61</v>
      </c>
      <c r="E15" s="5" t="s">
        <v>62</v>
      </c>
    </row>
    <row r="16" customFormat="false" ht="21.75" hidden="false" customHeight="true" outlineLevel="0" collapsed="false">
      <c r="B16" s="6" t="s">
        <v>63</v>
      </c>
      <c r="C16" s="6" t="s">
        <v>36</v>
      </c>
      <c r="D16" s="6" t="s">
        <v>64</v>
      </c>
      <c r="E16" s="6" t="s">
        <v>65</v>
      </c>
    </row>
    <row r="17" customFormat="false" ht="21.75" hidden="false" customHeight="true" outlineLevel="0" collapsed="false">
      <c r="B17" s="5" t="s">
        <v>66</v>
      </c>
      <c r="C17" s="5" t="s">
        <v>36</v>
      </c>
      <c r="D17" s="5" t="s">
        <v>67</v>
      </c>
      <c r="E17" s="5" t="s">
        <v>68</v>
      </c>
    </row>
    <row r="18" customFormat="false" ht="21.75" hidden="false" customHeight="true" outlineLevel="0" collapsed="false">
      <c r="B18" s="6" t="s">
        <v>69</v>
      </c>
      <c r="C18" s="6" t="s">
        <v>70</v>
      </c>
      <c r="D18" s="6" t="s">
        <v>71</v>
      </c>
      <c r="E18" s="6" t="s">
        <v>72</v>
      </c>
    </row>
    <row r="19" customFormat="false" ht="21.75" hidden="false" customHeight="true" outlineLevel="0" collapsed="false">
      <c r="B19" s="5" t="s">
        <v>73</v>
      </c>
      <c r="C19" s="5" t="s">
        <v>70</v>
      </c>
      <c r="D19" s="5" t="s">
        <v>74</v>
      </c>
      <c r="E19" s="5" t="s">
        <v>75</v>
      </c>
    </row>
    <row r="20" customFormat="false" ht="21.75" hidden="false" customHeight="true" outlineLevel="0" collapsed="false">
      <c r="B20" s="6" t="s">
        <v>76</v>
      </c>
      <c r="C20" s="6" t="s">
        <v>70</v>
      </c>
      <c r="D20" s="6" t="s">
        <v>77</v>
      </c>
      <c r="E20" s="6" t="s">
        <v>78</v>
      </c>
    </row>
    <row r="21" customFormat="false" ht="21.75" hidden="false" customHeight="true" outlineLevel="0" collapsed="false">
      <c r="B21" s="5" t="s">
        <v>79</v>
      </c>
      <c r="C21" s="5" t="s">
        <v>70</v>
      </c>
      <c r="D21" s="5" t="s">
        <v>80</v>
      </c>
      <c r="E21" s="5" t="s">
        <v>81</v>
      </c>
    </row>
    <row r="22" customFormat="false" ht="21.75" hidden="false" customHeight="true" outlineLevel="0" collapsed="false">
      <c r="B22" s="6" t="s">
        <v>82</v>
      </c>
      <c r="C22" s="6" t="s">
        <v>70</v>
      </c>
      <c r="D22" s="6" t="s">
        <v>83</v>
      </c>
      <c r="E22" s="6" t="s">
        <v>84</v>
      </c>
    </row>
    <row r="23" customFormat="false" ht="21.75" hidden="false" customHeight="true" outlineLevel="0" collapsed="false">
      <c r="B23" s="5" t="s">
        <v>85</v>
      </c>
      <c r="C23" s="5" t="s">
        <v>86</v>
      </c>
      <c r="D23" s="5" t="s">
        <v>87</v>
      </c>
      <c r="E23" s="5" t="s">
        <v>75</v>
      </c>
    </row>
    <row r="24" customFormat="false" ht="21.75" hidden="false" customHeight="true" outlineLevel="0" collapsed="false">
      <c r="B24" s="6" t="s">
        <v>88</v>
      </c>
      <c r="C24" s="6" t="s">
        <v>86</v>
      </c>
      <c r="D24" s="6" t="s">
        <v>89</v>
      </c>
      <c r="E24" s="6" t="s">
        <v>90</v>
      </c>
    </row>
    <row r="26" customFormat="false" ht="15" hidden="false" customHeight="false" outlineLevel="0" collapsed="false">
      <c r="B26" s="7" t="s">
        <v>91</v>
      </c>
    </row>
    <row r="27" customFormat="false" ht="15" hidden="false" customHeight="false" outlineLevel="0" collapsed="false">
      <c r="B27" s="7" t="s">
        <v>92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13" min="3" style="0" width="14"/>
    <col collapsed="false" customWidth="true" hidden="false" outlineLevel="0" max="14" min="14" style="0" width="12"/>
    <col collapsed="false" customWidth="true" hidden="false" outlineLevel="0" max="20" min="15" style="0" width="9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93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94</v>
      </c>
      <c r="C4" s="4" t="s">
        <v>95</v>
      </c>
      <c r="D4" s="4" t="s">
        <v>96</v>
      </c>
      <c r="E4" s="4" t="s">
        <v>97</v>
      </c>
      <c r="F4" s="4" t="s">
        <v>98</v>
      </c>
      <c r="G4" s="4" t="s">
        <v>99</v>
      </c>
      <c r="H4" s="4" t="s">
        <v>100</v>
      </c>
      <c r="I4" s="4" t="s">
        <v>101</v>
      </c>
      <c r="J4" s="4" t="s">
        <v>102</v>
      </c>
      <c r="K4" s="4" t="s">
        <v>103</v>
      </c>
      <c r="L4" s="4" t="s">
        <v>104</v>
      </c>
      <c r="M4" s="4" t="s">
        <v>105</v>
      </c>
      <c r="N4" s="4" t="s">
        <v>106</v>
      </c>
      <c r="O4" s="4" t="s">
        <v>107</v>
      </c>
      <c r="P4" s="4" t="s">
        <v>108</v>
      </c>
      <c r="Q4" s="4" t="s">
        <v>109</v>
      </c>
      <c r="R4" s="4" t="s">
        <v>110</v>
      </c>
      <c r="S4" s="4" t="s">
        <v>111</v>
      </c>
      <c r="T4" s="4" t="s">
        <v>112</v>
      </c>
    </row>
    <row r="5" customFormat="false" ht="21.75" hidden="false" customHeight="true" outlineLevel="0" collapsed="false">
      <c r="B5" s="8" t="n">
        <v>2015</v>
      </c>
      <c r="C5" s="9" t="n">
        <v>5952</v>
      </c>
      <c r="D5" s="9" t="n">
        <v>6327</v>
      </c>
      <c r="E5" s="10" t="n">
        <v>913</v>
      </c>
      <c r="F5" s="9" t="n">
        <v>1026</v>
      </c>
      <c r="G5" s="9" t="n">
        <v>1331</v>
      </c>
      <c r="H5" s="9" t="n">
        <v>1472</v>
      </c>
      <c r="I5" s="10" t="n">
        <v>441</v>
      </c>
      <c r="J5" s="9" t="n">
        <v>1750</v>
      </c>
      <c r="K5" s="9" t="n">
        <v>4202</v>
      </c>
      <c r="L5" s="10" t="n">
        <v>464</v>
      </c>
      <c r="M5" s="10" t="n">
        <v>449</v>
      </c>
      <c r="N5" s="9" t="n">
        <v>44396484</v>
      </c>
      <c r="O5" s="11" t="n">
        <v>14.25</v>
      </c>
      <c r="P5" s="12" t="n">
        <v>15.3</v>
      </c>
      <c r="Q5" s="12" t="n">
        <v>16.2</v>
      </c>
      <c r="R5" s="12" t="n">
        <v>22.4</v>
      </c>
      <c r="S5" s="13" t="n">
        <v>1.063</v>
      </c>
      <c r="T5" s="13" t="n">
        <v>1.124</v>
      </c>
    </row>
    <row r="6" customFormat="false" ht="21.75" hidden="false" customHeight="true" outlineLevel="0" collapsed="false">
      <c r="B6" s="14" t="n">
        <v>2016</v>
      </c>
      <c r="C6" s="15" t="n">
        <v>5315</v>
      </c>
      <c r="D6" s="15" t="n">
        <v>5741</v>
      </c>
      <c r="E6" s="16" t="n">
        <v>807</v>
      </c>
      <c r="F6" s="16" t="n">
        <v>892</v>
      </c>
      <c r="G6" s="15" t="n">
        <v>1193</v>
      </c>
      <c r="H6" s="15" t="n">
        <v>1330</v>
      </c>
      <c r="I6" s="16" t="n">
        <v>421</v>
      </c>
      <c r="J6" s="15" t="n">
        <v>1711</v>
      </c>
      <c r="K6" s="15" t="n">
        <v>3604</v>
      </c>
      <c r="L6" s="16" t="n">
        <v>405</v>
      </c>
      <c r="M6" s="16" t="n">
        <v>402</v>
      </c>
      <c r="N6" s="15" t="n">
        <v>44749699</v>
      </c>
      <c r="O6" s="17" t="n">
        <v>12.83</v>
      </c>
      <c r="P6" s="18" t="n">
        <v>15.2</v>
      </c>
      <c r="Q6" s="18" t="n">
        <v>15.5</v>
      </c>
      <c r="R6" s="18" t="n">
        <v>22.4</v>
      </c>
      <c r="S6" s="19" t="n">
        <v>1.08</v>
      </c>
      <c r="T6" s="19" t="n">
        <v>1.105</v>
      </c>
    </row>
    <row r="7" customFormat="false" ht="21.75" hidden="false" customHeight="true" outlineLevel="0" collapsed="false">
      <c r="B7" s="8" t="n">
        <v>2017</v>
      </c>
      <c r="C7" s="9" t="n">
        <v>5071</v>
      </c>
      <c r="D7" s="9" t="n">
        <v>5409</v>
      </c>
      <c r="E7" s="10" t="n">
        <v>733</v>
      </c>
      <c r="F7" s="10" t="n">
        <v>826</v>
      </c>
      <c r="G7" s="9" t="n">
        <v>1112</v>
      </c>
      <c r="H7" s="9" t="n">
        <v>1242</v>
      </c>
      <c r="I7" s="10" t="n">
        <v>394</v>
      </c>
      <c r="J7" s="9" t="n">
        <v>1818</v>
      </c>
      <c r="K7" s="9" t="n">
        <v>3253</v>
      </c>
      <c r="L7" s="10" t="n">
        <v>442</v>
      </c>
      <c r="M7" s="10" t="n">
        <v>291</v>
      </c>
      <c r="N7" s="9" t="n">
        <v>45094866</v>
      </c>
      <c r="O7" s="11" t="n">
        <v>11.99</v>
      </c>
      <c r="P7" s="12" t="n">
        <v>14.5</v>
      </c>
      <c r="Q7" s="12" t="n">
        <v>15.3</v>
      </c>
      <c r="R7" s="12" t="n">
        <v>21.9</v>
      </c>
      <c r="S7" s="13" t="n">
        <v>1.067</v>
      </c>
      <c r="T7" s="13" t="n">
        <v>1.127</v>
      </c>
    </row>
    <row r="8" customFormat="false" ht="21.75" hidden="false" customHeight="true" outlineLevel="0" collapsed="false">
      <c r="B8" s="14" t="n">
        <v>2018</v>
      </c>
      <c r="C8" s="15" t="n">
        <v>4870</v>
      </c>
      <c r="D8" s="15" t="n">
        <v>5236</v>
      </c>
      <c r="E8" s="16" t="n">
        <v>725</v>
      </c>
      <c r="F8" s="16" t="n">
        <v>821</v>
      </c>
      <c r="G8" s="15" t="n">
        <v>1092</v>
      </c>
      <c r="H8" s="15" t="n">
        <v>1214</v>
      </c>
      <c r="I8" s="16" t="n">
        <v>387</v>
      </c>
      <c r="J8" s="15" t="n">
        <v>2117</v>
      </c>
      <c r="K8" s="15" t="n">
        <v>2753</v>
      </c>
      <c r="L8" s="16" t="n">
        <v>527</v>
      </c>
      <c r="M8" s="16" t="n">
        <v>198</v>
      </c>
      <c r="N8" s="15" t="n">
        <v>45538936</v>
      </c>
      <c r="O8" s="17" t="n">
        <v>11.5</v>
      </c>
      <c r="P8" s="18" t="n">
        <v>14.9</v>
      </c>
      <c r="Q8" s="18" t="n">
        <v>15.7</v>
      </c>
      <c r="R8" s="18" t="n">
        <v>22.4</v>
      </c>
      <c r="S8" s="19" t="n">
        <v>1.075</v>
      </c>
      <c r="T8" s="19" t="n">
        <v>1.132</v>
      </c>
    </row>
    <row r="9" customFormat="false" ht="21.75" hidden="false" customHeight="true" outlineLevel="0" collapsed="false">
      <c r="B9" s="8" t="n">
        <v>2019</v>
      </c>
      <c r="C9" s="9" t="n">
        <v>4804</v>
      </c>
      <c r="D9" s="9" t="n">
        <v>5171</v>
      </c>
      <c r="E9" s="10" t="n">
        <v>741</v>
      </c>
      <c r="F9" s="10" t="n">
        <v>843</v>
      </c>
      <c r="G9" s="9" t="n">
        <v>1080</v>
      </c>
      <c r="H9" s="9" t="n">
        <v>1217</v>
      </c>
      <c r="I9" s="10" t="n">
        <v>358</v>
      </c>
      <c r="J9" s="9" t="n">
        <v>2167</v>
      </c>
      <c r="K9" s="9" t="n">
        <v>2637</v>
      </c>
      <c r="L9" s="10" t="n">
        <v>529</v>
      </c>
      <c r="M9" s="10" t="n">
        <v>212</v>
      </c>
      <c r="N9" s="9" t="n">
        <v>45919049</v>
      </c>
      <c r="O9" s="11" t="n">
        <v>11.26</v>
      </c>
      <c r="P9" s="12" t="n">
        <v>15.4</v>
      </c>
      <c r="Q9" s="12" t="n">
        <v>16.3</v>
      </c>
      <c r="R9" s="12" t="n">
        <v>22.5</v>
      </c>
      <c r="S9" s="13" t="n">
        <v>1.076</v>
      </c>
      <c r="T9" s="13" t="n">
        <v>1.138</v>
      </c>
    </row>
    <row r="10" customFormat="false" ht="21.75" hidden="false" customHeight="true" outlineLevel="0" collapsed="false">
      <c r="B10" s="14" t="n">
        <v>2020</v>
      </c>
      <c r="C10" s="15" t="n">
        <v>4504</v>
      </c>
      <c r="D10" s="15" t="n">
        <v>4842</v>
      </c>
      <c r="E10" s="16" t="n">
        <v>699</v>
      </c>
      <c r="F10" s="16" t="n">
        <v>835</v>
      </c>
      <c r="G10" s="16" t="n">
        <v>893</v>
      </c>
      <c r="H10" s="15" t="n">
        <v>1040</v>
      </c>
      <c r="I10" s="16" t="n">
        <v>208</v>
      </c>
      <c r="J10" s="15" t="n">
        <v>1917</v>
      </c>
      <c r="K10" s="15" t="n">
        <v>2587</v>
      </c>
      <c r="L10" s="16" t="n">
        <v>497</v>
      </c>
      <c r="M10" s="16" t="n">
        <v>202</v>
      </c>
      <c r="N10" s="15" t="n">
        <v>46289333</v>
      </c>
      <c r="O10" s="17" t="n">
        <v>10.46</v>
      </c>
      <c r="P10" s="18" t="n">
        <v>15.5</v>
      </c>
      <c r="Q10" s="18" t="n">
        <v>17.2</v>
      </c>
      <c r="R10" s="18" t="n">
        <v>19.8</v>
      </c>
      <c r="S10" s="19" t="n">
        <v>1.075</v>
      </c>
      <c r="T10" s="19" t="n">
        <v>1.195</v>
      </c>
    </row>
    <row r="11" customFormat="false" ht="21.75" hidden="false" customHeight="true" outlineLevel="0" collapsed="false">
      <c r="B11" s="8" t="n">
        <v>2021</v>
      </c>
      <c r="C11" s="9" t="n">
        <v>4614</v>
      </c>
      <c r="D11" s="9" t="n">
        <v>4858</v>
      </c>
      <c r="E11" s="10" t="n">
        <v>742</v>
      </c>
      <c r="F11" s="10" t="n">
        <v>814</v>
      </c>
      <c r="G11" s="10" t="n">
        <v>963</v>
      </c>
      <c r="H11" s="9" t="n">
        <v>1051</v>
      </c>
      <c r="I11" s="10" t="n">
        <v>237</v>
      </c>
      <c r="J11" s="9" t="n">
        <v>1994</v>
      </c>
      <c r="K11" s="9" t="n">
        <v>2620</v>
      </c>
      <c r="L11" s="10" t="n">
        <v>544</v>
      </c>
      <c r="M11" s="10" t="n">
        <v>198</v>
      </c>
      <c r="N11" s="9" t="n">
        <v>46649132</v>
      </c>
      <c r="O11" s="11" t="n">
        <v>10.41</v>
      </c>
      <c r="P11" s="12" t="n">
        <v>16.1</v>
      </c>
      <c r="Q11" s="12" t="n">
        <v>16.8</v>
      </c>
      <c r="R11" s="12" t="n">
        <v>20.9</v>
      </c>
      <c r="S11" s="13" t="n">
        <v>1.053</v>
      </c>
      <c r="T11" s="13" t="n">
        <v>1.097</v>
      </c>
    </row>
    <row r="12" customFormat="false" ht="21.75" hidden="false" customHeight="true" outlineLevel="0" collapsed="false">
      <c r="B12" s="14" t="n">
        <v>2022</v>
      </c>
      <c r="C12" s="15" t="n">
        <v>5122</v>
      </c>
      <c r="D12" s="15" t="n">
        <v>5444</v>
      </c>
      <c r="E12" s="16" t="n">
        <v>813</v>
      </c>
      <c r="F12" s="16" t="n">
        <v>887</v>
      </c>
      <c r="G12" s="15" t="n">
        <v>1089</v>
      </c>
      <c r="H12" s="15" t="n">
        <v>1190</v>
      </c>
      <c r="I12" s="16" t="n">
        <v>293</v>
      </c>
      <c r="J12" s="15" t="n">
        <v>2144</v>
      </c>
      <c r="K12" s="15" t="n">
        <v>2978</v>
      </c>
      <c r="L12" s="16" t="n">
        <v>560</v>
      </c>
      <c r="M12" s="16" t="n">
        <v>253</v>
      </c>
      <c r="N12" s="15" t="n">
        <v>44411238</v>
      </c>
      <c r="O12" s="17" t="n">
        <v>12.26</v>
      </c>
      <c r="P12" s="18" t="n">
        <v>15.9</v>
      </c>
      <c r="Q12" s="18" t="n">
        <v>16.3</v>
      </c>
      <c r="R12" s="18" t="n">
        <v>21.3</v>
      </c>
      <c r="S12" s="19" t="n">
        <v>1.063</v>
      </c>
      <c r="T12" s="19" t="n">
        <v>1.091</v>
      </c>
    </row>
    <row r="13" customFormat="false" ht="21.75" hidden="false" customHeight="true" outlineLevel="0" collapsed="false">
      <c r="B13" s="8" t="n">
        <v>2023</v>
      </c>
      <c r="C13" s="9" t="n">
        <v>5170</v>
      </c>
      <c r="D13" s="9" t="n">
        <v>5489</v>
      </c>
      <c r="E13" s="10" t="n">
        <v>791</v>
      </c>
      <c r="F13" s="10" t="n">
        <v>867</v>
      </c>
      <c r="G13" s="9" t="n">
        <v>1112</v>
      </c>
      <c r="H13" s="9" t="n">
        <v>1224</v>
      </c>
      <c r="I13" s="10" t="n">
        <v>333</v>
      </c>
      <c r="J13" s="9" t="n">
        <v>2151</v>
      </c>
      <c r="K13" s="9" t="n">
        <v>3019</v>
      </c>
      <c r="L13" s="10" t="n">
        <v>566</v>
      </c>
      <c r="M13" s="10" t="n">
        <v>225</v>
      </c>
      <c r="N13" s="9" t="n">
        <v>45192216</v>
      </c>
      <c r="O13" s="11" t="n">
        <v>12.15</v>
      </c>
      <c r="P13" s="12" t="n">
        <v>15.3</v>
      </c>
      <c r="Q13" s="12" t="n">
        <v>15.8</v>
      </c>
      <c r="R13" s="12" t="n">
        <v>21.5</v>
      </c>
      <c r="S13" s="13" t="n">
        <v>1.062</v>
      </c>
      <c r="T13" s="13" t="n">
        <v>1.096</v>
      </c>
    </row>
    <row r="14" customFormat="false" ht="21.75" hidden="false" customHeight="true" outlineLevel="0" collapsed="false">
      <c r="B14" s="14" t="n">
        <v>2024</v>
      </c>
      <c r="C14" s="15" t="n">
        <v>5842</v>
      </c>
      <c r="D14" s="15" t="n">
        <v>6178</v>
      </c>
      <c r="E14" s="16" t="n">
        <v>898</v>
      </c>
      <c r="F14" s="16" t="n">
        <v>996</v>
      </c>
      <c r="G14" s="15" t="n">
        <v>1239</v>
      </c>
      <c r="H14" s="15" t="n">
        <v>1370</v>
      </c>
      <c r="I14" s="16" t="n">
        <v>360</v>
      </c>
      <c r="J14" s="15" t="n">
        <v>2331</v>
      </c>
      <c r="K14" s="15" t="n">
        <v>3511</v>
      </c>
      <c r="L14" s="16" t="n">
        <v>627</v>
      </c>
      <c r="M14" s="16" t="n">
        <v>271</v>
      </c>
      <c r="N14" s="15" t="n">
        <v>45973194</v>
      </c>
      <c r="O14" s="17" t="n">
        <v>13.44</v>
      </c>
      <c r="P14" s="18" t="n">
        <v>15.4</v>
      </c>
      <c r="Q14" s="18" t="n">
        <v>16.1</v>
      </c>
      <c r="R14" s="18" t="n">
        <v>21.2</v>
      </c>
      <c r="S14" s="19" t="n">
        <v>1.058</v>
      </c>
      <c r="T14" s="19" t="n">
        <v>1.109</v>
      </c>
    </row>
    <row r="15" customFormat="false" ht="21.75" hidden="false" customHeight="true" outlineLevel="0" collapsed="false">
      <c r="B15" s="8" t="n">
        <v>2025</v>
      </c>
      <c r="C15" s="9" t="n">
        <v>5788</v>
      </c>
      <c r="D15" s="9" t="n">
        <v>6125</v>
      </c>
      <c r="E15" s="10" t="n">
        <v>917</v>
      </c>
      <c r="F15" s="9" t="n">
        <v>1023</v>
      </c>
      <c r="G15" s="9" t="n">
        <v>1240</v>
      </c>
      <c r="H15" s="9" t="n">
        <v>1361</v>
      </c>
      <c r="I15" s="10" t="n">
        <v>340</v>
      </c>
      <c r="J15" s="9" t="n">
        <v>2305</v>
      </c>
      <c r="K15" s="9" t="n">
        <v>3483</v>
      </c>
      <c r="L15" s="10" t="n">
        <v>632</v>
      </c>
      <c r="M15" s="10" t="n">
        <v>285</v>
      </c>
      <c r="N15" s="9" t="n">
        <v>46081801</v>
      </c>
      <c r="O15" s="11" t="n">
        <v>13.29</v>
      </c>
      <c r="P15" s="12" t="n">
        <v>15.8</v>
      </c>
      <c r="Q15" s="12" t="n">
        <v>16.7</v>
      </c>
      <c r="R15" s="12" t="n">
        <v>21.4</v>
      </c>
      <c r="S15" s="13" t="n">
        <v>1.058</v>
      </c>
      <c r="T15" s="13" t="n">
        <v>1.116</v>
      </c>
    </row>
    <row r="16" customFormat="false" ht="25.5" hidden="false" customHeight="true" outlineLevel="0" collapsed="false">
      <c r="B16" s="20" t="s">
        <v>113</v>
      </c>
      <c r="C16" s="21" t="n">
        <f aca="false">SUM(C5:C15)</f>
        <v>57052</v>
      </c>
      <c r="D16" s="21" t="n">
        <f aca="false">SUM(D5:D15)</f>
        <v>60820</v>
      </c>
      <c r="E16" s="21" t="n">
        <f aca="false">SUM(E5:E15)</f>
        <v>8779</v>
      </c>
      <c r="F16" s="21" t="n">
        <f aca="false">SUM(F5:F15)</f>
        <v>9830</v>
      </c>
      <c r="G16" s="21" t="n">
        <f aca="false">SUM(G5:G15)</f>
        <v>12344</v>
      </c>
      <c r="H16" s="21" t="n">
        <f aca="false">SUM(H5:H15)</f>
        <v>13711</v>
      </c>
      <c r="I16" s="21" t="n">
        <f aca="false">SUM(I5:I15)</f>
        <v>3772</v>
      </c>
      <c r="J16" s="21" t="n">
        <f aca="false">SUM(J5:J15)</f>
        <v>22405</v>
      </c>
      <c r="K16" s="21" t="n">
        <f aca="false">SUM(K5:K15)</f>
        <v>34647</v>
      </c>
      <c r="L16" s="21" t="n">
        <f aca="false">SUM(L5:L15)</f>
        <v>5793</v>
      </c>
      <c r="M16" s="21" t="n">
        <f aca="false">SUM(M5:M15)</f>
        <v>2986</v>
      </c>
      <c r="N16" s="20"/>
      <c r="O16" s="20"/>
      <c r="P16" s="20"/>
      <c r="Q16" s="20"/>
      <c r="R16" s="20"/>
      <c r="S16" s="20"/>
      <c r="T16" s="20"/>
    </row>
    <row r="18" customFormat="false" ht="15" hidden="false" customHeight="false" outlineLevel="0" collapsed="false">
      <c r="B18" s="7" t="s">
        <v>114</v>
      </c>
    </row>
    <row r="19" customFormat="false" ht="15" hidden="false" customHeight="false" outlineLevel="0" collapsed="false">
      <c r="B19" s="7" t="s">
        <v>115</v>
      </c>
    </row>
    <row r="20" customFormat="false" ht="15" hidden="false" customHeight="false" outlineLevel="0" collapsed="false">
      <c r="B20" s="7" t="s">
        <v>116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11" min="3" style="0" width="9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117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118</v>
      </c>
      <c r="C4" s="4" t="s">
        <v>119</v>
      </c>
      <c r="D4" s="4" t="s">
        <v>95</v>
      </c>
      <c r="E4" s="4" t="s">
        <v>96</v>
      </c>
      <c r="F4" s="4" t="s">
        <v>120</v>
      </c>
      <c r="G4" s="4" t="s">
        <v>121</v>
      </c>
      <c r="H4" s="4" t="s">
        <v>122</v>
      </c>
      <c r="I4" s="4" t="s">
        <v>123</v>
      </c>
      <c r="J4" s="4" t="s">
        <v>124</v>
      </c>
      <c r="K4" s="4" t="s">
        <v>125</v>
      </c>
    </row>
    <row r="5" customFormat="false" ht="21.75" hidden="false" customHeight="true" outlineLevel="0" collapsed="false">
      <c r="B5" s="5" t="s">
        <v>126</v>
      </c>
      <c r="C5" s="9" t="n">
        <v>870477</v>
      </c>
      <c r="D5" s="9" t="n">
        <v>35844</v>
      </c>
      <c r="E5" s="9" t="n">
        <v>38107</v>
      </c>
      <c r="F5" s="9" t="n">
        <v>90141</v>
      </c>
      <c r="G5" s="9" t="n">
        <v>781215</v>
      </c>
      <c r="H5" s="9" t="n">
        <v>698227</v>
      </c>
      <c r="I5" s="11" t="n">
        <v>4.12</v>
      </c>
      <c r="J5" s="11" t="n">
        <v>4.38</v>
      </c>
      <c r="K5" s="11" t="n">
        <v>1.04</v>
      </c>
    </row>
    <row r="6" customFormat="false" ht="21.75" hidden="false" customHeight="true" outlineLevel="0" collapsed="false">
      <c r="B6" s="6" t="s">
        <v>127</v>
      </c>
      <c r="C6" s="15" t="n">
        <v>50281</v>
      </c>
      <c r="D6" s="15" t="n">
        <v>5601</v>
      </c>
      <c r="E6" s="15" t="n">
        <v>6265</v>
      </c>
      <c r="F6" s="15" t="n">
        <v>7883</v>
      </c>
      <c r="G6" s="15" t="n">
        <v>38895</v>
      </c>
      <c r="H6" s="15" t="n">
        <v>49140</v>
      </c>
      <c r="I6" s="17" t="n">
        <v>11.14</v>
      </c>
      <c r="J6" s="17" t="n">
        <v>12.46</v>
      </c>
      <c r="K6" s="17" t="n">
        <v>1.05</v>
      </c>
    </row>
    <row r="7" customFormat="false" ht="21.75" hidden="false" customHeight="true" outlineLevel="0" collapsed="false">
      <c r="B7" s="5" t="s">
        <v>128</v>
      </c>
      <c r="C7" s="9" t="n">
        <v>820196</v>
      </c>
      <c r="D7" s="9" t="n">
        <v>30243</v>
      </c>
      <c r="E7" s="9" t="n">
        <v>31842</v>
      </c>
      <c r="F7" s="9" t="n">
        <v>82258</v>
      </c>
      <c r="G7" s="9" t="n">
        <v>742320</v>
      </c>
      <c r="H7" s="9" t="n">
        <v>649087</v>
      </c>
      <c r="I7" s="11" t="n">
        <v>3.69</v>
      </c>
      <c r="J7" s="11" t="n">
        <v>3.88</v>
      </c>
      <c r="K7" s="11" t="n">
        <v>1.04</v>
      </c>
    </row>
    <row r="8" customFormat="false" ht="21.75" hidden="false" customHeight="true" outlineLevel="0" collapsed="false">
      <c r="B8" s="6" t="s">
        <v>129</v>
      </c>
      <c r="C8" s="15" t="n">
        <v>31208</v>
      </c>
      <c r="D8" s="15" t="n">
        <v>2129</v>
      </c>
      <c r="E8" s="15" t="n">
        <v>2406</v>
      </c>
      <c r="F8" s="15" t="n">
        <v>3396</v>
      </c>
      <c r="G8" s="15" t="n">
        <v>30419</v>
      </c>
      <c r="H8" s="15" t="n">
        <v>39378</v>
      </c>
      <c r="I8" s="17" t="n">
        <v>6.82</v>
      </c>
      <c r="J8" s="17" t="n">
        <v>7.71</v>
      </c>
      <c r="K8" s="17" t="n">
        <v>1.16</v>
      </c>
    </row>
    <row r="9" customFormat="false" ht="21.75" hidden="false" customHeight="true" outlineLevel="0" collapsed="false">
      <c r="B9" s="5" t="s">
        <v>130</v>
      </c>
      <c r="C9" s="9" t="n">
        <v>80303</v>
      </c>
      <c r="D9" s="9" t="n">
        <v>7616</v>
      </c>
      <c r="E9" s="9" t="n">
        <v>8453</v>
      </c>
      <c r="F9" s="9" t="n">
        <v>11060</v>
      </c>
      <c r="G9" s="9" t="n">
        <v>67535</v>
      </c>
      <c r="H9" s="9" t="n">
        <v>86456</v>
      </c>
      <c r="I9" s="11" t="n">
        <v>9.48</v>
      </c>
      <c r="J9" s="11" t="n">
        <v>10.53</v>
      </c>
      <c r="K9" s="11" t="n">
        <v>1.08</v>
      </c>
    </row>
    <row r="10" customFormat="false" ht="21.75" hidden="false" customHeight="true" outlineLevel="0" collapsed="false">
      <c r="B10" s="6" t="s">
        <v>131</v>
      </c>
      <c r="C10" s="15" t="n">
        <v>790174</v>
      </c>
      <c r="D10" s="15" t="n">
        <v>28228</v>
      </c>
      <c r="E10" s="15" t="n">
        <v>29654</v>
      </c>
      <c r="F10" s="15" t="n">
        <v>79081</v>
      </c>
      <c r="G10" s="15" t="n">
        <v>713680</v>
      </c>
      <c r="H10" s="15" t="n">
        <v>611771</v>
      </c>
      <c r="I10" s="17" t="n">
        <v>3.57</v>
      </c>
      <c r="J10" s="17" t="n">
        <v>3.75</v>
      </c>
      <c r="K10" s="17" t="n">
        <v>1.04</v>
      </c>
    </row>
    <row r="11" customFormat="false" ht="21.75" hidden="false" customHeight="true" outlineLevel="0" collapsed="false">
      <c r="B11" s="5" t="s">
        <v>132</v>
      </c>
      <c r="C11" s="9" t="n">
        <v>26818</v>
      </c>
      <c r="D11" s="9" t="n">
        <v>3955</v>
      </c>
      <c r="E11" s="9" t="n">
        <v>4539</v>
      </c>
      <c r="F11" s="9" t="n">
        <v>4311</v>
      </c>
      <c r="G11" s="9" t="n">
        <v>18109</v>
      </c>
      <c r="H11" s="9" t="n">
        <v>21331</v>
      </c>
      <c r="I11" s="11" t="n">
        <v>14.75</v>
      </c>
      <c r="J11" s="11" t="n">
        <v>16.93</v>
      </c>
      <c r="K11" s="11" t="n">
        <v>1.01</v>
      </c>
    </row>
    <row r="12" customFormat="false" ht="21.75" hidden="false" customHeight="true" outlineLevel="0" collapsed="false">
      <c r="B12" s="6" t="s">
        <v>133</v>
      </c>
      <c r="C12" s="15" t="n">
        <v>23463</v>
      </c>
      <c r="D12" s="15" t="n">
        <v>1646</v>
      </c>
      <c r="E12" s="15" t="n">
        <v>1726</v>
      </c>
      <c r="F12" s="15" t="n">
        <v>3572</v>
      </c>
      <c r="G12" s="15" t="n">
        <v>20786</v>
      </c>
      <c r="H12" s="15" t="n">
        <v>27809</v>
      </c>
      <c r="I12" s="17" t="n">
        <v>7.02</v>
      </c>
      <c r="J12" s="17" t="n">
        <v>7.36</v>
      </c>
      <c r="K12" s="17" t="n">
        <v>1.11</v>
      </c>
    </row>
    <row r="13" customFormat="false" ht="21.75" hidden="false" customHeight="true" outlineLevel="0" collapsed="false">
      <c r="B13" s="5" t="s">
        <v>134</v>
      </c>
      <c r="C13" s="9" t="n">
        <v>140297</v>
      </c>
      <c r="D13" s="9" t="n">
        <v>11054</v>
      </c>
      <c r="E13" s="9" t="n">
        <v>12061</v>
      </c>
      <c r="F13" s="9" t="n">
        <v>22697</v>
      </c>
      <c r="G13" s="9" t="n">
        <v>122836</v>
      </c>
      <c r="H13" s="9" t="n">
        <v>79046</v>
      </c>
      <c r="I13" s="11" t="n">
        <v>7.88</v>
      </c>
      <c r="J13" s="11" t="n">
        <v>8.6</v>
      </c>
      <c r="K13" s="11" t="n">
        <v>1.12</v>
      </c>
    </row>
    <row r="14" customFormat="false" ht="21.75" hidden="false" customHeight="true" outlineLevel="0" collapsed="false">
      <c r="B14" s="6" t="s">
        <v>135</v>
      </c>
      <c r="C14" s="15" t="n">
        <v>679899</v>
      </c>
      <c r="D14" s="15" t="n">
        <v>19189</v>
      </c>
      <c r="E14" s="15" t="n">
        <v>19781</v>
      </c>
      <c r="F14" s="15" t="n">
        <v>59561</v>
      </c>
      <c r="G14" s="15" t="n">
        <v>619484</v>
      </c>
      <c r="H14" s="15" t="n">
        <v>570041</v>
      </c>
      <c r="I14" s="17" t="n">
        <v>2.82</v>
      </c>
      <c r="J14" s="17" t="n">
        <v>2.91</v>
      </c>
      <c r="K14" s="17" t="n">
        <v>1.03</v>
      </c>
    </row>
    <row r="15" customFormat="false" ht="21.75" hidden="false" customHeight="true" outlineLevel="0" collapsed="false">
      <c r="B15" s="5" t="s">
        <v>136</v>
      </c>
      <c r="C15" s="9" t="n">
        <v>513588</v>
      </c>
      <c r="D15" s="9" t="n">
        <v>16768</v>
      </c>
      <c r="E15" s="9" t="n">
        <v>17427</v>
      </c>
      <c r="F15" s="9" t="n">
        <v>62746</v>
      </c>
      <c r="G15" s="9" t="n">
        <v>516798</v>
      </c>
      <c r="H15" s="9" t="n">
        <v>433104</v>
      </c>
      <c r="I15" s="11" t="n">
        <v>3.26</v>
      </c>
      <c r="J15" s="11" t="n">
        <v>3.39</v>
      </c>
      <c r="K15" s="11" t="n">
        <v>1.16</v>
      </c>
    </row>
    <row r="16" customFormat="false" ht="21.75" hidden="false" customHeight="true" outlineLevel="0" collapsed="false">
      <c r="B16" s="6" t="s">
        <v>137</v>
      </c>
      <c r="C16" s="15" t="n">
        <v>66605</v>
      </c>
      <c r="D16" s="15" t="n">
        <v>8623</v>
      </c>
      <c r="E16" s="15" t="n">
        <v>8758</v>
      </c>
      <c r="F16" s="15" t="n">
        <v>8820</v>
      </c>
      <c r="G16" s="15" t="n">
        <v>59491</v>
      </c>
      <c r="H16" s="15" t="n">
        <v>57425</v>
      </c>
      <c r="I16" s="17" t="n">
        <v>12.95</v>
      </c>
      <c r="J16" s="17" t="n">
        <v>13.15</v>
      </c>
      <c r="K16" s="17" t="n">
        <v>1.16</v>
      </c>
    </row>
    <row r="17" customFormat="false" ht="21.75" hidden="false" customHeight="true" outlineLevel="0" collapsed="false">
      <c r="B17" s="5" t="s">
        <v>138</v>
      </c>
      <c r="C17" s="9" t="n">
        <v>32707</v>
      </c>
      <c r="D17" s="9" t="n">
        <v>2636</v>
      </c>
      <c r="E17" s="9" t="n">
        <v>2662</v>
      </c>
      <c r="F17" s="9" t="n">
        <v>3451</v>
      </c>
      <c r="G17" s="9" t="n">
        <v>31303</v>
      </c>
      <c r="H17" s="9" t="n">
        <v>28519</v>
      </c>
      <c r="I17" s="11" t="n">
        <v>8.06</v>
      </c>
      <c r="J17" s="11" t="n">
        <v>8.14</v>
      </c>
      <c r="K17" s="11" t="n">
        <v>1.14</v>
      </c>
    </row>
    <row r="19" customFormat="false" ht="15" hidden="false" customHeight="false" outlineLevel="0" collapsed="false">
      <c r="B19" s="7" t="s">
        <v>139</v>
      </c>
    </row>
    <row r="20" customFormat="false" ht="15" hidden="false" customHeight="false" outlineLevel="0" collapsed="false">
      <c r="B20" s="7" t="s">
        <v>140</v>
      </c>
    </row>
  </sheetData>
  <mergeCells count="1"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26"/>
    <col collapsed="false" customWidth="true" hidden="false" outlineLevel="0" max="10" min="10" style="0" width="24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141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44" hidden="false" customHeight="false" outlineLevel="0" collapsed="false">
      <c r="B4" s="22" t="s">
        <v>142</v>
      </c>
    </row>
    <row r="5" customFormat="false" ht="27.75" hidden="false" customHeight="true" outlineLevel="0" collapsed="false">
      <c r="B5" s="4" t="s">
        <v>143</v>
      </c>
      <c r="C5" s="4" t="s">
        <v>144</v>
      </c>
      <c r="D5" s="4" t="s">
        <v>145</v>
      </c>
      <c r="E5" s="4" t="s">
        <v>146</v>
      </c>
      <c r="F5" s="4" t="s">
        <v>147</v>
      </c>
      <c r="G5" s="4" t="s">
        <v>148</v>
      </c>
      <c r="H5" s="4" t="s">
        <v>149</v>
      </c>
      <c r="I5" s="4" t="s">
        <v>150</v>
      </c>
      <c r="J5" s="4" t="s">
        <v>151</v>
      </c>
    </row>
    <row r="6" customFormat="false" ht="21.75" hidden="false" customHeight="true" outlineLevel="0" collapsed="false">
      <c r="B6" s="5" t="s">
        <v>152</v>
      </c>
      <c r="C6" s="12" t="n">
        <v>6662</v>
      </c>
      <c r="D6" s="10" t="n">
        <v>1</v>
      </c>
      <c r="E6" s="5" t="s">
        <v>153</v>
      </c>
      <c r="F6" s="11" t="n">
        <v>3.27</v>
      </c>
      <c r="G6" s="11" t="n">
        <v>3.18</v>
      </c>
      <c r="H6" s="11" t="n">
        <v>3.37</v>
      </c>
      <c r="I6" s="10" t="n">
        <v>3.69</v>
      </c>
      <c r="J6" s="10" t="n">
        <v>11.14</v>
      </c>
    </row>
    <row r="9" customFormat="false" ht="15" hidden="false" customHeight="false" outlineLevel="0" collapsed="false">
      <c r="B9" s="2" t="s">
        <v>154</v>
      </c>
    </row>
    <row r="10" customFormat="false" ht="27.75" hidden="false" customHeight="true" outlineLevel="0" collapsed="false">
      <c r="B10" s="4" t="s">
        <v>155</v>
      </c>
      <c r="C10" s="4" t="s">
        <v>156</v>
      </c>
      <c r="D10" s="4" t="s">
        <v>150</v>
      </c>
      <c r="E10" s="4" t="s">
        <v>151</v>
      </c>
      <c r="F10" s="4" t="s">
        <v>157</v>
      </c>
      <c r="G10" s="4" t="s">
        <v>148</v>
      </c>
      <c r="H10" s="4" t="s">
        <v>149</v>
      </c>
      <c r="I10" s="4" t="s">
        <v>146</v>
      </c>
    </row>
    <row r="11" customFormat="false" ht="21.75" hidden="false" customHeight="true" outlineLevel="0" collapsed="false">
      <c r="B11" s="5" t="s">
        <v>158</v>
      </c>
      <c r="C11" s="9" t="n">
        <v>167115</v>
      </c>
      <c r="D11" s="10" t="n">
        <v>7.88</v>
      </c>
      <c r="E11" s="10" t="n">
        <v>14.75</v>
      </c>
      <c r="F11" s="11" t="n">
        <v>2.02</v>
      </c>
      <c r="G11" s="11" t="n">
        <v>1.95</v>
      </c>
      <c r="H11" s="11" t="n">
        <v>2.1</v>
      </c>
      <c r="I11" s="5" t="s">
        <v>153</v>
      </c>
    </row>
    <row r="12" customFormat="false" ht="21.75" hidden="false" customHeight="true" outlineLevel="0" collapsed="false">
      <c r="B12" s="6" t="s">
        <v>159</v>
      </c>
      <c r="C12" s="15" t="n">
        <v>701328</v>
      </c>
      <c r="D12" s="16" t="n">
        <v>2.54</v>
      </c>
      <c r="E12" s="16" t="n">
        <v>6.89</v>
      </c>
      <c r="F12" s="17" t="n">
        <v>2.84</v>
      </c>
      <c r="G12" s="17" t="n">
        <v>2.69</v>
      </c>
      <c r="H12" s="17" t="n">
        <v>2.99</v>
      </c>
      <c r="I12" s="6" t="s">
        <v>153</v>
      </c>
    </row>
    <row r="14" customFormat="false" ht="15" hidden="false" customHeight="false" outlineLevel="0" collapsed="false">
      <c r="B14" s="23" t="s">
        <v>160</v>
      </c>
    </row>
    <row r="15" customFormat="false" ht="15" hidden="false" customHeight="false" outlineLevel="0" collapsed="false">
      <c r="B15" s="23" t="s">
        <v>161</v>
      </c>
    </row>
    <row r="16" customFormat="false" ht="15" hidden="false" customHeight="false" outlineLevel="0" collapsed="false">
      <c r="B16" s="23" t="s">
        <v>162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0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163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164</v>
      </c>
      <c r="C4" s="4" t="s">
        <v>165</v>
      </c>
      <c r="D4" s="4" t="s">
        <v>157</v>
      </c>
      <c r="E4" s="4" t="s">
        <v>148</v>
      </c>
      <c r="F4" s="4" t="s">
        <v>149</v>
      </c>
      <c r="G4" s="4" t="s">
        <v>146</v>
      </c>
      <c r="H4" s="4" t="s">
        <v>166</v>
      </c>
    </row>
    <row r="5" customFormat="false" ht="21.75" hidden="false" customHeight="true" outlineLevel="0" collapsed="false">
      <c r="B5" s="5" t="s">
        <v>167</v>
      </c>
      <c r="C5" s="24" t="n">
        <v>-4.2184</v>
      </c>
      <c r="D5" s="13" t="n">
        <v>0.015</v>
      </c>
      <c r="E5" s="13" t="n">
        <v>0.014</v>
      </c>
      <c r="F5" s="13" t="n">
        <v>0.015</v>
      </c>
      <c r="G5" s="5" t="s">
        <v>153</v>
      </c>
      <c r="H5" s="9" t="n">
        <v>868443</v>
      </c>
    </row>
    <row r="6" customFormat="false" ht="21.75" hidden="false" customHeight="true" outlineLevel="0" collapsed="false">
      <c r="B6" s="6" t="s">
        <v>168</v>
      </c>
      <c r="C6" s="25" t="n">
        <v>0.9341</v>
      </c>
      <c r="D6" s="19" t="n">
        <v>2.545</v>
      </c>
      <c r="E6" s="19" t="n">
        <v>2.461</v>
      </c>
      <c r="F6" s="19" t="n">
        <v>2.632</v>
      </c>
      <c r="G6" s="6" t="s">
        <v>153</v>
      </c>
      <c r="H6" s="15" t="n">
        <v>868443</v>
      </c>
    </row>
    <row r="7" customFormat="false" ht="21.75" hidden="false" customHeight="true" outlineLevel="0" collapsed="false">
      <c r="B7" s="5" t="s">
        <v>169</v>
      </c>
      <c r="C7" s="24" t="n">
        <v>0.6111</v>
      </c>
      <c r="D7" s="13" t="n">
        <v>1.842</v>
      </c>
      <c r="E7" s="13" t="n">
        <v>1.756</v>
      </c>
      <c r="F7" s="13" t="n">
        <v>1.933</v>
      </c>
      <c r="G7" s="5" t="s">
        <v>153</v>
      </c>
      <c r="H7" s="9" t="n">
        <v>868443</v>
      </c>
    </row>
    <row r="8" customFormat="false" ht="21.75" hidden="false" customHeight="true" outlineLevel="0" collapsed="false">
      <c r="B8" s="6" t="s">
        <v>170</v>
      </c>
      <c r="C8" s="25" t="n">
        <v>0.0263</v>
      </c>
      <c r="D8" s="19" t="n">
        <v>1.027</v>
      </c>
      <c r="E8" s="19" t="n">
        <v>1.002</v>
      </c>
      <c r="F8" s="19" t="n">
        <v>1.052</v>
      </c>
      <c r="G8" s="16" t="n">
        <v>0.032</v>
      </c>
      <c r="H8" s="15" t="n">
        <v>868443</v>
      </c>
    </row>
    <row r="9" customFormat="false" ht="21.75" hidden="false" customHeight="true" outlineLevel="0" collapsed="false">
      <c r="B9" s="5" t="s">
        <v>171</v>
      </c>
      <c r="C9" s="24" t="n">
        <v>1.7085</v>
      </c>
      <c r="D9" s="13" t="n">
        <v>5.52</v>
      </c>
      <c r="E9" s="13" t="n">
        <v>5.363</v>
      </c>
      <c r="F9" s="13" t="n">
        <v>5.682</v>
      </c>
      <c r="G9" s="5" t="s">
        <v>153</v>
      </c>
      <c r="H9" s="9" t="n">
        <v>868443</v>
      </c>
    </row>
    <row r="10" customFormat="false" ht="21.75" hidden="false" customHeight="true" outlineLevel="0" collapsed="false">
      <c r="B10" s="6" t="s">
        <v>172</v>
      </c>
      <c r="C10" s="25" t="n">
        <v>0.8155</v>
      </c>
      <c r="D10" s="19" t="n">
        <v>2.26</v>
      </c>
      <c r="E10" s="19" t="n">
        <v>2.159</v>
      </c>
      <c r="F10" s="19" t="n">
        <v>2.367</v>
      </c>
      <c r="G10" s="6" t="s">
        <v>153</v>
      </c>
      <c r="H10" s="15" t="n">
        <v>868443</v>
      </c>
    </row>
    <row r="11" customFormat="false" ht="21.75" hidden="false" customHeight="true" outlineLevel="0" collapsed="false">
      <c r="B11" s="5" t="s">
        <v>173</v>
      </c>
      <c r="C11" s="24" t="n">
        <v>1.3435</v>
      </c>
      <c r="D11" s="13" t="n">
        <v>3.832</v>
      </c>
      <c r="E11" s="13" t="n">
        <v>3.741</v>
      </c>
      <c r="F11" s="13" t="n">
        <v>3.926</v>
      </c>
      <c r="G11" s="5" t="s">
        <v>153</v>
      </c>
      <c r="H11" s="9" t="n">
        <v>868443</v>
      </c>
    </row>
    <row r="12" customFormat="false" ht="21.75" hidden="false" customHeight="true" outlineLevel="0" collapsed="false">
      <c r="B12" s="6" t="s">
        <v>174</v>
      </c>
      <c r="C12" s="25" t="n">
        <v>0.0586</v>
      </c>
      <c r="D12" s="19" t="n">
        <v>1.06</v>
      </c>
      <c r="E12" s="19" t="n">
        <v>1.054</v>
      </c>
      <c r="F12" s="19" t="n">
        <v>1.067</v>
      </c>
      <c r="G12" s="6" t="s">
        <v>153</v>
      </c>
      <c r="H12" s="15" t="n">
        <v>868443</v>
      </c>
    </row>
    <row r="14" customFormat="false" ht="15" hidden="false" customHeight="false" outlineLevel="0" collapsed="false">
      <c r="B14" s="7" t="s">
        <v>175</v>
      </c>
    </row>
    <row r="15" customFormat="false" ht="15" hidden="false" customHeight="false" outlineLevel="0" collapsed="false">
      <c r="B15" s="7" t="s">
        <v>176</v>
      </c>
    </row>
    <row r="16" customFormat="false" ht="15" hidden="false" customHeight="false" outlineLevel="0" collapsed="false">
      <c r="B16" s="7" t="s">
        <v>177</v>
      </c>
    </row>
    <row r="17" customFormat="false" ht="15" hidden="false" customHeight="false" outlineLevel="0" collapsed="false">
      <c r="B17" s="7" t="s">
        <v>178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0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179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164</v>
      </c>
      <c r="C4" s="4" t="s">
        <v>157</v>
      </c>
      <c r="D4" s="4" t="s">
        <v>148</v>
      </c>
      <c r="E4" s="4" t="s">
        <v>149</v>
      </c>
      <c r="F4" s="4" t="s">
        <v>146</v>
      </c>
      <c r="G4" s="4" t="s">
        <v>180</v>
      </c>
    </row>
    <row r="5" customFormat="false" ht="21.75" hidden="false" customHeight="true" outlineLevel="0" collapsed="false">
      <c r="B5" s="5" t="s">
        <v>181</v>
      </c>
      <c r="C5" s="13" t="n">
        <v>2.184</v>
      </c>
      <c r="D5" s="13" t="n">
        <v>2.063</v>
      </c>
      <c r="E5" s="13" t="n">
        <v>2.313</v>
      </c>
      <c r="F5" s="5" t="s">
        <v>153</v>
      </c>
      <c r="G5" s="9" t="n">
        <v>1485703</v>
      </c>
    </row>
    <row r="6" customFormat="false" ht="21.75" hidden="false" customHeight="true" outlineLevel="0" collapsed="false">
      <c r="B6" s="6" t="s">
        <v>182</v>
      </c>
      <c r="C6" s="19" t="n">
        <v>0.578</v>
      </c>
      <c r="D6" s="19" t="n">
        <v>0.515</v>
      </c>
      <c r="E6" s="19" t="n">
        <v>0.649</v>
      </c>
      <c r="F6" s="6" t="s">
        <v>153</v>
      </c>
      <c r="G6" s="15" t="n">
        <v>1485703</v>
      </c>
    </row>
    <row r="7" customFormat="false" ht="21.75" hidden="false" customHeight="true" outlineLevel="0" collapsed="false">
      <c r="B7" s="5" t="s">
        <v>183</v>
      </c>
      <c r="C7" s="13" t="n">
        <v>2.329</v>
      </c>
      <c r="D7" s="13" t="n">
        <v>2.266</v>
      </c>
      <c r="E7" s="13" t="n">
        <v>2.394</v>
      </c>
      <c r="F7" s="5" t="s">
        <v>153</v>
      </c>
      <c r="G7" s="9" t="n">
        <v>1485703</v>
      </c>
    </row>
    <row r="8" customFormat="false" ht="21.75" hidden="false" customHeight="true" outlineLevel="0" collapsed="false">
      <c r="B8" s="6" t="s">
        <v>184</v>
      </c>
      <c r="C8" s="19" t="n">
        <v>7.936</v>
      </c>
      <c r="D8" s="19" t="n">
        <v>7.698</v>
      </c>
      <c r="E8" s="19" t="n">
        <v>8.182</v>
      </c>
      <c r="F8" s="6" t="s">
        <v>153</v>
      </c>
      <c r="G8" s="15" t="n">
        <v>1485703</v>
      </c>
    </row>
    <row r="9" customFormat="false" ht="21.75" hidden="false" customHeight="true" outlineLevel="0" collapsed="false">
      <c r="B9" s="5" t="s">
        <v>185</v>
      </c>
      <c r="C9" s="13" t="n">
        <v>1.016</v>
      </c>
      <c r="D9" s="13" t="n">
        <v>1.015</v>
      </c>
      <c r="E9" s="13" t="n">
        <v>1.017</v>
      </c>
      <c r="F9" s="5" t="s">
        <v>153</v>
      </c>
      <c r="G9" s="9" t="n">
        <v>1485703</v>
      </c>
    </row>
    <row r="10" customFormat="false" ht="21.75" hidden="false" customHeight="true" outlineLevel="0" collapsed="false">
      <c r="B10" s="6" t="s">
        <v>167</v>
      </c>
      <c r="C10" s="19" t="n">
        <v>0.007</v>
      </c>
      <c r="D10" s="19" t="n">
        <v>0.006</v>
      </c>
      <c r="E10" s="19" t="n">
        <v>0.007</v>
      </c>
      <c r="F10" s="6" t="s">
        <v>153</v>
      </c>
      <c r="G10" s="15" t="n">
        <v>1485703</v>
      </c>
    </row>
    <row r="12" customFormat="false" ht="15" hidden="false" customHeight="false" outlineLevel="0" collapsed="false">
      <c r="B12" s="7" t="s">
        <v>186</v>
      </c>
    </row>
    <row r="13" customFormat="false" ht="15" hidden="false" customHeight="false" outlineLevel="0" collapsed="false">
      <c r="B13" s="7" t="s">
        <v>187</v>
      </c>
    </row>
    <row r="14" customFormat="false" ht="15" hidden="false" customHeight="false" outlineLevel="0" collapsed="false">
      <c r="B14" s="7" t="s">
        <v>188</v>
      </c>
    </row>
    <row r="15" customFormat="false" ht="15" hidden="false" customHeight="false" outlineLevel="0" collapsed="false">
      <c r="B15" s="7" t="s">
        <v>189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9" min="8" style="0" width="15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190</v>
      </c>
      <c r="C2" s="1"/>
      <c r="D2" s="1"/>
      <c r="E2" s="1"/>
      <c r="F2" s="1"/>
      <c r="G2" s="1"/>
      <c r="H2" s="1"/>
      <c r="I2" s="1"/>
    </row>
    <row r="3" customFormat="false" ht="7.5" hidden="false" customHeight="true" outlineLevel="0" collapsed="false"/>
    <row r="4" customFormat="false" ht="15" hidden="false" customHeight="false" outlineLevel="0" collapsed="false">
      <c r="B4" s="2" t="s">
        <v>191</v>
      </c>
    </row>
    <row r="5" customFormat="false" ht="27.75" hidden="false" customHeight="true" outlineLevel="0" collapsed="false">
      <c r="B5" s="4" t="s">
        <v>192</v>
      </c>
      <c r="C5" s="4" t="s">
        <v>96</v>
      </c>
      <c r="D5" s="4" t="s">
        <v>193</v>
      </c>
    </row>
    <row r="6" customFormat="false" ht="21.75" hidden="false" customHeight="true" outlineLevel="0" collapsed="false">
      <c r="B6" s="5" t="s">
        <v>194</v>
      </c>
      <c r="C6" s="9" t="n">
        <v>3111</v>
      </c>
      <c r="D6" s="12" t="n">
        <v>31.6</v>
      </c>
    </row>
    <row r="7" customFormat="false" ht="21.75" hidden="false" customHeight="true" outlineLevel="0" collapsed="false">
      <c r="B7" s="6" t="s">
        <v>195</v>
      </c>
      <c r="C7" s="15" t="n">
        <v>2817</v>
      </c>
      <c r="D7" s="18" t="n">
        <v>28.7</v>
      </c>
    </row>
    <row r="8" customFormat="false" ht="21.75" hidden="false" customHeight="true" outlineLevel="0" collapsed="false">
      <c r="B8" s="5" t="s">
        <v>196</v>
      </c>
      <c r="C8" s="9" t="n">
        <v>1877</v>
      </c>
      <c r="D8" s="12" t="n">
        <v>19.1</v>
      </c>
    </row>
    <row r="9" customFormat="false" ht="21.75" hidden="false" customHeight="true" outlineLevel="0" collapsed="false">
      <c r="B9" s="6" t="s">
        <v>197</v>
      </c>
      <c r="C9" s="15" t="n">
        <v>1313</v>
      </c>
      <c r="D9" s="18" t="n">
        <v>13.4</v>
      </c>
    </row>
    <row r="10" customFormat="false" ht="21.75" hidden="false" customHeight="true" outlineLevel="0" collapsed="false">
      <c r="B10" s="5" t="s">
        <v>198</v>
      </c>
      <c r="C10" s="10" t="n">
        <v>382</v>
      </c>
      <c r="D10" s="12" t="n">
        <v>3.9</v>
      </c>
    </row>
    <row r="11" customFormat="false" ht="21.75" hidden="false" customHeight="true" outlineLevel="0" collapsed="false">
      <c r="B11" s="6" t="s">
        <v>199</v>
      </c>
      <c r="C11" s="16" t="n">
        <v>196</v>
      </c>
      <c r="D11" s="18" t="n">
        <v>2</v>
      </c>
    </row>
    <row r="12" customFormat="false" ht="21.75" hidden="false" customHeight="true" outlineLevel="0" collapsed="false">
      <c r="B12" s="5" t="s">
        <v>200</v>
      </c>
      <c r="C12" s="10" t="n">
        <v>92</v>
      </c>
      <c r="D12" s="12" t="n">
        <v>0.9</v>
      </c>
    </row>
    <row r="13" customFormat="false" ht="21.75" hidden="false" customHeight="true" outlineLevel="0" collapsed="false">
      <c r="B13" s="6" t="s">
        <v>201</v>
      </c>
      <c r="C13" s="16" t="n">
        <v>42</v>
      </c>
      <c r="D13" s="18" t="n">
        <v>0.4</v>
      </c>
    </row>
    <row r="14" customFormat="false" ht="25.5" hidden="false" customHeight="true" outlineLevel="0" collapsed="false">
      <c r="B14" s="20" t="s">
        <v>113</v>
      </c>
      <c r="C14" s="21" t="n">
        <f aca="false">SUM(C6:C13)</f>
        <v>9830</v>
      </c>
      <c r="D14" s="20"/>
    </row>
    <row r="16" customFormat="false" ht="15" hidden="false" customHeight="false" outlineLevel="0" collapsed="false">
      <c r="B16" s="7" t="s">
        <v>202</v>
      </c>
    </row>
    <row r="19" customFormat="false" ht="15" hidden="false" customHeight="false" outlineLevel="0" collapsed="false">
      <c r="B19" s="2" t="s">
        <v>203</v>
      </c>
    </row>
    <row r="20" customFormat="false" ht="27.75" hidden="false" customHeight="true" outlineLevel="0" collapsed="false">
      <c r="B20" s="4" t="s">
        <v>204</v>
      </c>
      <c r="C20" s="4" t="s">
        <v>205</v>
      </c>
      <c r="D20" s="4" t="s">
        <v>197</v>
      </c>
      <c r="E20" s="4" t="s">
        <v>198</v>
      </c>
      <c r="F20" s="4" t="s">
        <v>195</v>
      </c>
      <c r="G20" s="4" t="s">
        <v>196</v>
      </c>
      <c r="H20" s="4" t="s">
        <v>194</v>
      </c>
      <c r="I20" s="4" t="s">
        <v>199</v>
      </c>
    </row>
    <row r="21" customFormat="false" ht="21.75" hidden="false" customHeight="true" outlineLevel="0" collapsed="false">
      <c r="B21" s="5" t="s">
        <v>97</v>
      </c>
      <c r="C21" s="9" t="n">
        <v>9830</v>
      </c>
      <c r="D21" s="9" t="n">
        <v>1313</v>
      </c>
      <c r="E21" s="10" t="n">
        <v>382</v>
      </c>
      <c r="F21" s="9" t="n">
        <v>2817</v>
      </c>
      <c r="G21" s="9" t="n">
        <v>1877</v>
      </c>
      <c r="H21" s="9" t="n">
        <v>3111</v>
      </c>
      <c r="I21" s="10" t="n">
        <v>196</v>
      </c>
    </row>
    <row r="22" customFormat="false" ht="21.75" hidden="false" customHeight="true" outlineLevel="0" collapsed="false">
      <c r="B22" s="6" t="s">
        <v>206</v>
      </c>
      <c r="C22" s="15" t="n">
        <v>60820</v>
      </c>
      <c r="D22" s="15" t="n">
        <v>14732</v>
      </c>
      <c r="E22" s="15" t="n">
        <v>3972</v>
      </c>
      <c r="F22" s="15" t="n">
        <v>22702</v>
      </c>
      <c r="G22" s="15" t="n">
        <v>2103</v>
      </c>
      <c r="H22" s="15" t="n">
        <v>14640</v>
      </c>
      <c r="I22" s="16" t="n">
        <v>464</v>
      </c>
    </row>
    <row r="24" customFormat="false" ht="15" hidden="false" customHeight="false" outlineLevel="0" collapsed="false">
      <c r="B24" s="7" t="s">
        <v>207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8" min="4" style="0" width="9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208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94</v>
      </c>
      <c r="C4" s="4" t="s">
        <v>209</v>
      </c>
      <c r="D4" s="4" t="s">
        <v>210</v>
      </c>
      <c r="E4" s="4" t="s">
        <v>211</v>
      </c>
      <c r="F4" s="4" t="s">
        <v>212</v>
      </c>
      <c r="G4" s="4" t="s">
        <v>213</v>
      </c>
      <c r="H4" s="4" t="s">
        <v>214</v>
      </c>
    </row>
    <row r="5" customFormat="false" ht="21.75" hidden="false" customHeight="true" outlineLevel="0" collapsed="false">
      <c r="B5" s="8" t="n">
        <v>2019</v>
      </c>
      <c r="C5" s="9" t="n">
        <v>114435</v>
      </c>
      <c r="D5" s="9" t="n">
        <v>6781</v>
      </c>
      <c r="E5" s="9" t="n">
        <v>4063</v>
      </c>
      <c r="F5" s="10" t="n">
        <v>741</v>
      </c>
      <c r="G5" s="11" t="n">
        <v>3.55</v>
      </c>
      <c r="H5" s="11" t="n">
        <v>10.93</v>
      </c>
    </row>
    <row r="6" customFormat="false" ht="21.75" hidden="false" customHeight="true" outlineLevel="0" collapsed="false">
      <c r="B6" s="14" t="n">
        <v>2020</v>
      </c>
      <c r="C6" s="15" t="n">
        <v>107078</v>
      </c>
      <c r="D6" s="15" t="n">
        <v>6896</v>
      </c>
      <c r="E6" s="15" t="n">
        <v>3805</v>
      </c>
      <c r="F6" s="16" t="n">
        <v>699</v>
      </c>
      <c r="G6" s="17" t="n">
        <v>3.55</v>
      </c>
      <c r="H6" s="17" t="n">
        <v>10.14</v>
      </c>
    </row>
    <row r="7" customFormat="false" ht="21.75" hidden="false" customHeight="true" outlineLevel="0" collapsed="false">
      <c r="B7" s="8" t="n">
        <v>2021</v>
      </c>
      <c r="C7" s="9" t="n">
        <v>118966</v>
      </c>
      <c r="D7" s="9" t="n">
        <v>7450</v>
      </c>
      <c r="E7" s="9" t="n">
        <v>3872</v>
      </c>
      <c r="F7" s="10" t="n">
        <v>742</v>
      </c>
      <c r="G7" s="11" t="n">
        <v>3.25</v>
      </c>
      <c r="H7" s="11" t="n">
        <v>9.96</v>
      </c>
    </row>
    <row r="8" customFormat="false" ht="21.75" hidden="false" customHeight="true" outlineLevel="0" collapsed="false">
      <c r="B8" s="14" t="n">
        <v>2022</v>
      </c>
      <c r="C8" s="15" t="n">
        <v>123287</v>
      </c>
      <c r="D8" s="15" t="n">
        <v>7396</v>
      </c>
      <c r="E8" s="15" t="n">
        <v>4309</v>
      </c>
      <c r="F8" s="16" t="n">
        <v>813</v>
      </c>
      <c r="G8" s="17" t="n">
        <v>3.5</v>
      </c>
      <c r="H8" s="17" t="n">
        <v>10.99</v>
      </c>
    </row>
    <row r="9" customFormat="false" ht="21.75" hidden="false" customHeight="true" outlineLevel="0" collapsed="false">
      <c r="B9" s="8" t="n">
        <v>2023</v>
      </c>
      <c r="C9" s="9" t="n">
        <v>132825</v>
      </c>
      <c r="D9" s="9" t="n">
        <v>7677</v>
      </c>
      <c r="E9" s="9" t="n">
        <v>4379</v>
      </c>
      <c r="F9" s="10" t="n">
        <v>791</v>
      </c>
      <c r="G9" s="11" t="n">
        <v>3.3</v>
      </c>
      <c r="H9" s="11" t="n">
        <v>10.3</v>
      </c>
    </row>
    <row r="10" customFormat="false" ht="21.75" hidden="false" customHeight="true" outlineLevel="0" collapsed="false">
      <c r="B10" s="14" t="n">
        <v>2024</v>
      </c>
      <c r="C10" s="15" t="n">
        <v>127969</v>
      </c>
      <c r="D10" s="15" t="n">
        <v>7621</v>
      </c>
      <c r="E10" s="15" t="n">
        <v>4944</v>
      </c>
      <c r="F10" s="16" t="n">
        <v>898</v>
      </c>
      <c r="G10" s="17" t="n">
        <v>3.86</v>
      </c>
      <c r="H10" s="17" t="n">
        <v>11.78</v>
      </c>
    </row>
    <row r="11" customFormat="false" ht="21.75" hidden="false" customHeight="true" outlineLevel="0" collapsed="false">
      <c r="B11" s="8" t="n">
        <v>2025</v>
      </c>
      <c r="C11" s="9" t="n">
        <v>95636</v>
      </c>
      <c r="D11" s="9" t="n">
        <v>6460</v>
      </c>
      <c r="E11" s="9" t="n">
        <v>4871</v>
      </c>
      <c r="F11" s="10" t="n">
        <v>917</v>
      </c>
      <c r="G11" s="11" t="n">
        <v>5.09</v>
      </c>
      <c r="H11" s="11" t="n">
        <v>14.2</v>
      </c>
    </row>
    <row r="13" customFormat="false" ht="15" hidden="false" customHeight="false" outlineLevel="0" collapsed="false">
      <c r="B13" s="7" t="s">
        <v>215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9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216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217</v>
      </c>
      <c r="C4" s="4" t="s">
        <v>218</v>
      </c>
      <c r="D4" s="4" t="s">
        <v>95</v>
      </c>
      <c r="E4" s="4" t="s">
        <v>96</v>
      </c>
      <c r="F4" s="4" t="s">
        <v>97</v>
      </c>
      <c r="G4" s="4" t="s">
        <v>98</v>
      </c>
      <c r="H4" s="4" t="s">
        <v>219</v>
      </c>
    </row>
    <row r="5" customFormat="false" ht="21.75" hidden="false" customHeight="true" outlineLevel="0" collapsed="false">
      <c r="B5" s="5" t="s">
        <v>220</v>
      </c>
      <c r="C5" s="5" t="s">
        <v>221</v>
      </c>
      <c r="D5" s="9" t="n">
        <v>1555</v>
      </c>
      <c r="E5" s="9" t="n">
        <v>1664</v>
      </c>
      <c r="F5" s="10" t="n">
        <v>485</v>
      </c>
      <c r="G5" s="10" t="n">
        <v>539</v>
      </c>
      <c r="H5" s="12" t="n">
        <v>31.2</v>
      </c>
    </row>
    <row r="6" customFormat="false" ht="21.75" hidden="false" customHeight="true" outlineLevel="0" collapsed="false">
      <c r="B6" s="6" t="s">
        <v>222</v>
      </c>
      <c r="C6" s="6" t="s">
        <v>223</v>
      </c>
      <c r="D6" s="15" t="n">
        <v>1290</v>
      </c>
      <c r="E6" s="15" t="n">
        <v>1367</v>
      </c>
      <c r="F6" s="16" t="n">
        <v>415</v>
      </c>
      <c r="G6" s="16" t="n">
        <v>444</v>
      </c>
      <c r="H6" s="18" t="n">
        <v>32.2</v>
      </c>
    </row>
    <row r="7" customFormat="false" ht="21.75" hidden="false" customHeight="true" outlineLevel="0" collapsed="false">
      <c r="B7" s="5" t="s">
        <v>224</v>
      </c>
      <c r="C7" s="5" t="s">
        <v>223</v>
      </c>
      <c r="D7" s="9" t="n">
        <v>1007</v>
      </c>
      <c r="E7" s="9" t="n">
        <v>1078</v>
      </c>
      <c r="F7" s="10" t="n">
        <v>150</v>
      </c>
      <c r="G7" s="10" t="n">
        <v>169</v>
      </c>
      <c r="H7" s="12" t="n">
        <v>14.9</v>
      </c>
    </row>
    <row r="8" customFormat="false" ht="21.75" hidden="false" customHeight="true" outlineLevel="0" collapsed="false">
      <c r="B8" s="6" t="s">
        <v>225</v>
      </c>
      <c r="C8" s="6" t="s">
        <v>223</v>
      </c>
      <c r="D8" s="16" t="n">
        <v>976</v>
      </c>
      <c r="E8" s="15" t="n">
        <v>1043</v>
      </c>
      <c r="F8" s="16" t="n">
        <v>230</v>
      </c>
      <c r="G8" s="16" t="n">
        <v>259</v>
      </c>
      <c r="H8" s="18" t="n">
        <v>23.6</v>
      </c>
    </row>
    <row r="9" customFormat="false" ht="21.75" hidden="false" customHeight="true" outlineLevel="0" collapsed="false">
      <c r="B9" s="5" t="s">
        <v>226</v>
      </c>
      <c r="C9" s="5" t="s">
        <v>223</v>
      </c>
      <c r="D9" s="10" t="n">
        <v>719</v>
      </c>
      <c r="E9" s="10" t="n">
        <v>788</v>
      </c>
      <c r="F9" s="10" t="n">
        <v>260</v>
      </c>
      <c r="G9" s="10" t="n">
        <v>285</v>
      </c>
      <c r="H9" s="12" t="n">
        <v>36.2</v>
      </c>
    </row>
    <row r="10" customFormat="false" ht="21.75" hidden="false" customHeight="true" outlineLevel="0" collapsed="false">
      <c r="B10" s="6" t="s">
        <v>227</v>
      </c>
      <c r="C10" s="6" t="s">
        <v>223</v>
      </c>
      <c r="D10" s="16" t="n">
        <v>718</v>
      </c>
      <c r="E10" s="16" t="n">
        <v>783</v>
      </c>
      <c r="F10" s="16" t="n">
        <v>204</v>
      </c>
      <c r="G10" s="16" t="n">
        <v>218</v>
      </c>
      <c r="H10" s="18" t="n">
        <v>28.4</v>
      </c>
    </row>
    <row r="11" customFormat="false" ht="21.75" hidden="false" customHeight="true" outlineLevel="0" collapsed="false">
      <c r="B11" s="5" t="s">
        <v>228</v>
      </c>
      <c r="C11" s="5" t="s">
        <v>223</v>
      </c>
      <c r="D11" s="10" t="n">
        <v>706</v>
      </c>
      <c r="E11" s="10" t="n">
        <v>777</v>
      </c>
      <c r="F11" s="10" t="n">
        <v>247</v>
      </c>
      <c r="G11" s="10" t="n">
        <v>285</v>
      </c>
      <c r="H11" s="12" t="n">
        <v>35</v>
      </c>
    </row>
    <row r="12" customFormat="false" ht="21.75" hidden="false" customHeight="true" outlineLevel="0" collapsed="false">
      <c r="B12" s="6" t="s">
        <v>229</v>
      </c>
      <c r="C12" s="6" t="s">
        <v>223</v>
      </c>
      <c r="D12" s="16" t="n">
        <v>555</v>
      </c>
      <c r="E12" s="16" t="n">
        <v>610</v>
      </c>
      <c r="F12" s="16" t="n">
        <v>178</v>
      </c>
      <c r="G12" s="16" t="n">
        <v>203</v>
      </c>
      <c r="H12" s="18" t="n">
        <v>32.1</v>
      </c>
    </row>
    <row r="13" customFormat="false" ht="21.75" hidden="false" customHeight="true" outlineLevel="0" collapsed="false">
      <c r="B13" s="5" t="s">
        <v>230</v>
      </c>
      <c r="C13" s="5" t="s">
        <v>223</v>
      </c>
      <c r="D13" s="10" t="n">
        <v>443</v>
      </c>
      <c r="E13" s="10" t="n">
        <v>487</v>
      </c>
      <c r="F13" s="10" t="n">
        <v>88</v>
      </c>
      <c r="G13" s="10" t="n">
        <v>98</v>
      </c>
      <c r="H13" s="12" t="n">
        <v>19.9</v>
      </c>
    </row>
    <row r="14" customFormat="false" ht="21.75" hidden="false" customHeight="true" outlineLevel="0" collapsed="false">
      <c r="B14" s="6" t="s">
        <v>231</v>
      </c>
      <c r="C14" s="6" t="s">
        <v>223</v>
      </c>
      <c r="D14" s="16" t="n">
        <v>437</v>
      </c>
      <c r="E14" s="16" t="n">
        <v>471</v>
      </c>
      <c r="F14" s="16" t="n">
        <v>66</v>
      </c>
      <c r="G14" s="16" t="n">
        <v>71</v>
      </c>
      <c r="H14" s="18" t="n">
        <v>15.1</v>
      </c>
    </row>
    <row r="15" customFormat="false" ht="21.75" hidden="false" customHeight="true" outlineLevel="0" collapsed="false">
      <c r="B15" s="5" t="s">
        <v>232</v>
      </c>
      <c r="C15" s="5" t="s">
        <v>223</v>
      </c>
      <c r="D15" s="10" t="n">
        <v>415</v>
      </c>
      <c r="E15" s="10" t="n">
        <v>439</v>
      </c>
      <c r="F15" s="10" t="n">
        <v>62</v>
      </c>
      <c r="G15" s="10" t="n">
        <v>67</v>
      </c>
      <c r="H15" s="12" t="n">
        <v>14.9</v>
      </c>
    </row>
    <row r="16" customFormat="false" ht="21.75" hidden="false" customHeight="true" outlineLevel="0" collapsed="false">
      <c r="B16" s="6" t="s">
        <v>233</v>
      </c>
      <c r="C16" s="6" t="s">
        <v>223</v>
      </c>
      <c r="D16" s="16" t="n">
        <v>401</v>
      </c>
      <c r="E16" s="16" t="n">
        <v>431</v>
      </c>
      <c r="F16" s="16" t="n">
        <v>107</v>
      </c>
      <c r="G16" s="16" t="n">
        <v>116</v>
      </c>
      <c r="H16" s="18" t="n">
        <v>26.7</v>
      </c>
    </row>
    <row r="17" customFormat="false" ht="21.75" hidden="false" customHeight="true" outlineLevel="0" collapsed="false">
      <c r="B17" s="5" t="s">
        <v>234</v>
      </c>
      <c r="C17" s="5" t="s">
        <v>223</v>
      </c>
      <c r="D17" s="10" t="n">
        <v>397</v>
      </c>
      <c r="E17" s="10" t="n">
        <v>452</v>
      </c>
      <c r="F17" s="10" t="n">
        <v>110</v>
      </c>
      <c r="G17" s="10" t="n">
        <v>132</v>
      </c>
      <c r="H17" s="12" t="n">
        <v>27.7</v>
      </c>
    </row>
    <row r="18" customFormat="false" ht="21.75" hidden="false" customHeight="true" outlineLevel="0" collapsed="false">
      <c r="B18" s="6" t="s">
        <v>235</v>
      </c>
      <c r="C18" s="6" t="s">
        <v>223</v>
      </c>
      <c r="D18" s="16" t="n">
        <v>383</v>
      </c>
      <c r="E18" s="16" t="n">
        <v>421</v>
      </c>
      <c r="F18" s="16" t="n">
        <v>140</v>
      </c>
      <c r="G18" s="16" t="n">
        <v>158</v>
      </c>
      <c r="H18" s="18" t="n">
        <v>36.6</v>
      </c>
    </row>
    <row r="19" customFormat="false" ht="21.75" hidden="false" customHeight="true" outlineLevel="0" collapsed="false">
      <c r="B19" s="5" t="s">
        <v>236</v>
      </c>
      <c r="C19" s="5" t="s">
        <v>223</v>
      </c>
      <c r="D19" s="10" t="n">
        <v>370</v>
      </c>
      <c r="E19" s="10" t="n">
        <v>422</v>
      </c>
      <c r="F19" s="10" t="n">
        <v>109</v>
      </c>
      <c r="G19" s="10" t="n">
        <v>130</v>
      </c>
      <c r="H19" s="12" t="n">
        <v>29.5</v>
      </c>
    </row>
    <row r="20" customFormat="false" ht="21.75" hidden="false" customHeight="true" outlineLevel="0" collapsed="false">
      <c r="B20" s="6" t="s">
        <v>237</v>
      </c>
      <c r="C20" s="6" t="s">
        <v>223</v>
      </c>
      <c r="D20" s="16" t="n">
        <v>364</v>
      </c>
      <c r="E20" s="16" t="n">
        <v>446</v>
      </c>
      <c r="F20" s="16" t="n">
        <v>165</v>
      </c>
      <c r="G20" s="16" t="n">
        <v>210</v>
      </c>
      <c r="H20" s="18" t="n">
        <v>45.3</v>
      </c>
    </row>
    <row r="21" customFormat="false" ht="21.75" hidden="false" customHeight="true" outlineLevel="0" collapsed="false">
      <c r="B21" s="5" t="s">
        <v>238</v>
      </c>
      <c r="C21" s="5" t="s">
        <v>223</v>
      </c>
      <c r="D21" s="10" t="n">
        <v>360</v>
      </c>
      <c r="E21" s="10" t="n">
        <v>377</v>
      </c>
      <c r="F21" s="10" t="n">
        <v>96</v>
      </c>
      <c r="G21" s="10" t="n">
        <v>105</v>
      </c>
      <c r="H21" s="12" t="n">
        <v>26.7</v>
      </c>
    </row>
    <row r="22" customFormat="false" ht="21.75" hidden="false" customHeight="true" outlineLevel="0" collapsed="false">
      <c r="B22" s="6" t="s">
        <v>239</v>
      </c>
      <c r="C22" s="6" t="s">
        <v>223</v>
      </c>
      <c r="D22" s="16" t="n">
        <v>350</v>
      </c>
      <c r="E22" s="16" t="n">
        <v>439</v>
      </c>
      <c r="F22" s="16" t="n">
        <v>138</v>
      </c>
      <c r="G22" s="16" t="n">
        <v>183</v>
      </c>
      <c r="H22" s="18" t="n">
        <v>39.4</v>
      </c>
    </row>
    <row r="23" customFormat="false" ht="21.75" hidden="false" customHeight="true" outlineLevel="0" collapsed="false">
      <c r="B23" s="5" t="s">
        <v>240</v>
      </c>
      <c r="C23" s="5" t="s">
        <v>223</v>
      </c>
      <c r="D23" s="10" t="n">
        <v>347</v>
      </c>
      <c r="E23" s="10" t="n">
        <v>416</v>
      </c>
      <c r="F23" s="10" t="n">
        <v>113</v>
      </c>
      <c r="G23" s="10" t="n">
        <v>129</v>
      </c>
      <c r="H23" s="12" t="n">
        <v>32.6</v>
      </c>
    </row>
    <row r="24" customFormat="false" ht="21.75" hidden="false" customHeight="true" outlineLevel="0" collapsed="false">
      <c r="B24" s="6" t="s">
        <v>241</v>
      </c>
      <c r="C24" s="6" t="s">
        <v>223</v>
      </c>
      <c r="D24" s="16" t="n">
        <v>347</v>
      </c>
      <c r="E24" s="16" t="n">
        <v>377</v>
      </c>
      <c r="F24" s="16" t="n">
        <v>93</v>
      </c>
      <c r="G24" s="16" t="n">
        <v>104</v>
      </c>
      <c r="H24" s="18" t="n">
        <v>26.8</v>
      </c>
    </row>
    <row r="25" customFormat="false" ht="21.75" hidden="false" customHeight="true" outlineLevel="0" collapsed="false">
      <c r="B25" s="5" t="s">
        <v>242</v>
      </c>
      <c r="C25" s="5" t="s">
        <v>223</v>
      </c>
      <c r="D25" s="10" t="n">
        <v>338</v>
      </c>
      <c r="E25" s="10" t="n">
        <v>362</v>
      </c>
      <c r="F25" s="10" t="n">
        <v>48</v>
      </c>
      <c r="G25" s="10" t="n">
        <v>53</v>
      </c>
      <c r="H25" s="12" t="n">
        <v>14.2</v>
      </c>
    </row>
    <row r="26" customFormat="false" ht="21.75" hidden="false" customHeight="true" outlineLevel="0" collapsed="false">
      <c r="B26" s="6" t="s">
        <v>243</v>
      </c>
      <c r="C26" s="6" t="s">
        <v>223</v>
      </c>
      <c r="D26" s="16" t="n">
        <v>309</v>
      </c>
      <c r="E26" s="16" t="n">
        <v>340</v>
      </c>
      <c r="F26" s="16" t="n">
        <v>86</v>
      </c>
      <c r="G26" s="16" t="n">
        <v>93</v>
      </c>
      <c r="H26" s="18" t="n">
        <v>27.8</v>
      </c>
    </row>
    <row r="27" customFormat="false" ht="21.75" hidden="false" customHeight="true" outlineLevel="0" collapsed="false">
      <c r="B27" s="5" t="s">
        <v>244</v>
      </c>
      <c r="C27" s="5" t="s">
        <v>221</v>
      </c>
      <c r="D27" s="10" t="n">
        <v>309</v>
      </c>
      <c r="E27" s="10" t="n">
        <v>323</v>
      </c>
      <c r="F27" s="10" t="n">
        <v>89</v>
      </c>
      <c r="G27" s="10" t="n">
        <v>95</v>
      </c>
      <c r="H27" s="12" t="n">
        <v>28.8</v>
      </c>
    </row>
    <row r="28" customFormat="false" ht="21.75" hidden="false" customHeight="true" outlineLevel="0" collapsed="false">
      <c r="B28" s="6" t="s">
        <v>245</v>
      </c>
      <c r="C28" s="6" t="s">
        <v>223</v>
      </c>
      <c r="D28" s="16" t="n">
        <v>286</v>
      </c>
      <c r="E28" s="16" t="n">
        <v>319</v>
      </c>
      <c r="F28" s="16" t="n">
        <v>98</v>
      </c>
      <c r="G28" s="16" t="n">
        <v>111</v>
      </c>
      <c r="H28" s="18" t="n">
        <v>34.3</v>
      </c>
    </row>
    <row r="29" customFormat="false" ht="21.75" hidden="false" customHeight="true" outlineLevel="0" collapsed="false">
      <c r="B29" s="5" t="s">
        <v>246</v>
      </c>
      <c r="C29" s="5" t="s">
        <v>223</v>
      </c>
      <c r="D29" s="10" t="n">
        <v>251</v>
      </c>
      <c r="E29" s="10" t="n">
        <v>289</v>
      </c>
      <c r="F29" s="10" t="n">
        <v>70</v>
      </c>
      <c r="G29" s="10" t="n">
        <v>86</v>
      </c>
      <c r="H29" s="12" t="n">
        <v>27.9</v>
      </c>
    </row>
    <row r="30" customFormat="false" ht="21.75" hidden="false" customHeight="true" outlineLevel="0" collapsed="false">
      <c r="B30" s="6" t="s">
        <v>247</v>
      </c>
      <c r="C30" s="6" t="s">
        <v>221</v>
      </c>
      <c r="D30" s="16" t="n">
        <v>229</v>
      </c>
      <c r="E30" s="16" t="n">
        <v>265</v>
      </c>
      <c r="F30" s="16" t="n">
        <v>100</v>
      </c>
      <c r="G30" s="16" t="n">
        <v>121</v>
      </c>
      <c r="H30" s="18" t="n">
        <v>43.7</v>
      </c>
    </row>
    <row r="31" customFormat="false" ht="21.75" hidden="false" customHeight="true" outlineLevel="0" collapsed="false">
      <c r="B31" s="5" t="s">
        <v>248</v>
      </c>
      <c r="C31" s="5" t="s">
        <v>223</v>
      </c>
      <c r="D31" s="10" t="n">
        <v>222</v>
      </c>
      <c r="E31" s="10" t="n">
        <v>262</v>
      </c>
      <c r="F31" s="10" t="n">
        <v>50</v>
      </c>
      <c r="G31" s="10" t="n">
        <v>61</v>
      </c>
      <c r="H31" s="12" t="n">
        <v>22.5</v>
      </c>
    </row>
    <row r="32" customFormat="false" ht="21.75" hidden="false" customHeight="true" outlineLevel="0" collapsed="false">
      <c r="B32" s="6" t="s">
        <v>249</v>
      </c>
      <c r="C32" s="6" t="s">
        <v>223</v>
      </c>
      <c r="D32" s="16" t="n">
        <v>212</v>
      </c>
      <c r="E32" s="16" t="n">
        <v>239</v>
      </c>
      <c r="F32" s="16" t="n">
        <v>54</v>
      </c>
      <c r="G32" s="16" t="n">
        <v>59</v>
      </c>
      <c r="H32" s="18" t="n">
        <v>25.5</v>
      </c>
    </row>
    <row r="33" customFormat="false" ht="21.75" hidden="false" customHeight="true" outlineLevel="0" collapsed="false">
      <c r="B33" s="5" t="s">
        <v>250</v>
      </c>
      <c r="C33" s="5" t="s">
        <v>223</v>
      </c>
      <c r="D33" s="10" t="n">
        <v>200</v>
      </c>
      <c r="E33" s="10" t="n">
        <v>217</v>
      </c>
      <c r="F33" s="10" t="n">
        <v>20</v>
      </c>
      <c r="G33" s="10" t="n">
        <v>21</v>
      </c>
      <c r="H33" s="12" t="n">
        <v>10</v>
      </c>
    </row>
    <row r="34" customFormat="false" ht="21.75" hidden="false" customHeight="true" outlineLevel="0" collapsed="false">
      <c r="B34" s="6" t="s">
        <v>251</v>
      </c>
      <c r="C34" s="6" t="s">
        <v>223</v>
      </c>
      <c r="D34" s="16" t="n">
        <v>181</v>
      </c>
      <c r="E34" s="16" t="n">
        <v>202</v>
      </c>
      <c r="F34" s="16" t="n">
        <v>39</v>
      </c>
      <c r="G34" s="16" t="n">
        <v>48</v>
      </c>
      <c r="H34" s="18" t="n">
        <v>21.5</v>
      </c>
    </row>
    <row r="35" customFormat="false" ht="25.5" hidden="false" customHeight="true" outlineLevel="0" collapsed="false">
      <c r="B35" s="20" t="s">
        <v>113</v>
      </c>
      <c r="C35" s="20"/>
      <c r="D35" s="21" t="n">
        <f aca="false">SUM(D5:D34)</f>
        <v>14677</v>
      </c>
      <c r="E35" s="21" t="n">
        <f aca="false">SUM(E5:E34)</f>
        <v>16106</v>
      </c>
      <c r="F35" s="21" t="n">
        <f aca="false">SUM(F5:F34)</f>
        <v>4110</v>
      </c>
      <c r="G35" s="21" t="n">
        <f aca="false">SUM(G5:G34)</f>
        <v>4653</v>
      </c>
      <c r="H35" s="20"/>
    </row>
    <row r="37" customFormat="false" ht="15" hidden="false" customHeight="false" outlineLevel="0" collapsed="false">
      <c r="B37" s="7" t="s">
        <v>252</v>
      </c>
    </row>
    <row r="38" customFormat="false" ht="15" hidden="false" customHeight="false" outlineLevel="0" collapsed="false">
      <c r="B38" s="7" t="s">
        <v>253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23"/>
    <col collapsed="false" customWidth="true" hidden="false" outlineLevel="0" max="4" min="4" style="0" width="10"/>
    <col collapsed="false" customWidth="true" hidden="false" outlineLevel="0" max="8" min="5" style="0" width="14"/>
    <col collapsed="false" customWidth="true" hidden="false" outlineLevel="0" max="10" min="9" style="0" width="9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254</v>
      </c>
      <c r="C2" s="1"/>
      <c r="D2" s="1"/>
      <c r="E2" s="1"/>
      <c r="F2" s="1"/>
      <c r="G2" s="1"/>
      <c r="H2" s="1"/>
      <c r="I2" s="1"/>
      <c r="J2" s="1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255</v>
      </c>
      <c r="C4" s="4" t="s">
        <v>256</v>
      </c>
      <c r="D4" s="4" t="s">
        <v>257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258</v>
      </c>
      <c r="J4" s="4" t="s">
        <v>259</v>
      </c>
    </row>
    <row r="5" customFormat="false" ht="21.75" hidden="false" customHeight="true" outlineLevel="0" collapsed="false">
      <c r="B5" s="8" t="n">
        <v>3550308</v>
      </c>
      <c r="C5" s="5" t="s">
        <v>260</v>
      </c>
      <c r="D5" s="9" t="n">
        <v>11451999</v>
      </c>
      <c r="E5" s="9" t="n">
        <v>9477</v>
      </c>
      <c r="F5" s="9" t="n">
        <v>9792</v>
      </c>
      <c r="G5" s="10" t="n">
        <v>769</v>
      </c>
      <c r="H5" s="10" t="n">
        <v>802</v>
      </c>
      <c r="I5" s="12" t="n">
        <v>85.5</v>
      </c>
      <c r="J5" s="12" t="n">
        <v>8.1</v>
      </c>
    </row>
    <row r="6" customFormat="false" ht="21.75" hidden="false" customHeight="true" outlineLevel="0" collapsed="false">
      <c r="B6" s="14" t="n">
        <v>3509502</v>
      </c>
      <c r="C6" s="6" t="s">
        <v>261</v>
      </c>
      <c r="D6" s="15" t="n">
        <v>1139047</v>
      </c>
      <c r="E6" s="15" t="n">
        <v>1542</v>
      </c>
      <c r="F6" s="15" t="n">
        <v>1615</v>
      </c>
      <c r="G6" s="16" t="n">
        <v>154</v>
      </c>
      <c r="H6" s="16" t="n">
        <v>166</v>
      </c>
      <c r="I6" s="18" t="n">
        <v>141.8</v>
      </c>
      <c r="J6" s="18" t="n">
        <v>10</v>
      </c>
    </row>
    <row r="7" customFormat="false" ht="21.75" hidden="false" customHeight="true" outlineLevel="0" collapsed="false">
      <c r="B7" s="8" t="n">
        <v>3518800</v>
      </c>
      <c r="C7" s="5" t="s">
        <v>262</v>
      </c>
      <c r="D7" s="9" t="n">
        <v>1291771</v>
      </c>
      <c r="E7" s="9" t="n">
        <v>1462</v>
      </c>
      <c r="F7" s="9" t="n">
        <v>1536</v>
      </c>
      <c r="G7" s="10" t="n">
        <v>168</v>
      </c>
      <c r="H7" s="10" t="n">
        <v>183</v>
      </c>
      <c r="I7" s="12" t="n">
        <v>118.9</v>
      </c>
      <c r="J7" s="12" t="n">
        <v>11.5</v>
      </c>
    </row>
    <row r="8" customFormat="false" ht="21.75" hidden="false" customHeight="true" outlineLevel="0" collapsed="false">
      <c r="B8" s="14" t="n">
        <v>3552205</v>
      </c>
      <c r="C8" s="6" t="s">
        <v>263</v>
      </c>
      <c r="D8" s="15" t="n">
        <v>723682</v>
      </c>
      <c r="E8" s="15" t="n">
        <v>1003</v>
      </c>
      <c r="F8" s="15" t="n">
        <v>1041</v>
      </c>
      <c r="G8" s="16" t="n">
        <v>114</v>
      </c>
      <c r="H8" s="16" t="n">
        <v>131</v>
      </c>
      <c r="I8" s="18" t="n">
        <v>143.8</v>
      </c>
      <c r="J8" s="18" t="n">
        <v>11.4</v>
      </c>
    </row>
    <row r="9" customFormat="false" ht="21.75" hidden="false" customHeight="true" outlineLevel="0" collapsed="false">
      <c r="B9" s="8" t="n">
        <v>3548708</v>
      </c>
      <c r="C9" s="5" t="s">
        <v>264</v>
      </c>
      <c r="D9" s="9" t="n">
        <v>810729</v>
      </c>
      <c r="E9" s="10" t="n">
        <v>887</v>
      </c>
      <c r="F9" s="10" t="n">
        <v>946</v>
      </c>
      <c r="G9" s="10" t="n">
        <v>145</v>
      </c>
      <c r="H9" s="10" t="n">
        <v>161</v>
      </c>
      <c r="I9" s="12" t="n">
        <v>116.7</v>
      </c>
      <c r="J9" s="12" t="n">
        <v>16.3</v>
      </c>
    </row>
    <row r="10" customFormat="false" ht="21.75" hidden="false" customHeight="true" outlineLevel="0" collapsed="false">
      <c r="B10" s="14" t="n">
        <v>3543402</v>
      </c>
      <c r="C10" s="6" t="s">
        <v>265</v>
      </c>
      <c r="D10" s="15" t="n">
        <v>698642</v>
      </c>
      <c r="E10" s="16" t="n">
        <v>914</v>
      </c>
      <c r="F10" s="16" t="n">
        <v>941</v>
      </c>
      <c r="G10" s="16" t="n">
        <v>87</v>
      </c>
      <c r="H10" s="16" t="n">
        <v>88</v>
      </c>
      <c r="I10" s="18" t="n">
        <v>134.7</v>
      </c>
      <c r="J10" s="18" t="n">
        <v>9.5</v>
      </c>
    </row>
    <row r="11" customFormat="false" ht="21.75" hidden="false" customHeight="true" outlineLevel="0" collapsed="false">
      <c r="B11" s="8" t="n">
        <v>3549904</v>
      </c>
      <c r="C11" s="5" t="s">
        <v>266</v>
      </c>
      <c r="D11" s="9" t="n">
        <v>697054</v>
      </c>
      <c r="E11" s="10" t="n">
        <v>826</v>
      </c>
      <c r="F11" s="10" t="n">
        <v>860</v>
      </c>
      <c r="G11" s="10" t="n">
        <v>76</v>
      </c>
      <c r="H11" s="10" t="n">
        <v>81</v>
      </c>
      <c r="I11" s="12" t="n">
        <v>123.4</v>
      </c>
      <c r="J11" s="12" t="n">
        <v>9.2</v>
      </c>
    </row>
    <row r="12" customFormat="false" ht="21.75" hidden="false" customHeight="true" outlineLevel="0" collapsed="false">
      <c r="B12" s="14" t="n">
        <v>3525904</v>
      </c>
      <c r="C12" s="6" t="s">
        <v>267</v>
      </c>
      <c r="D12" s="15" t="n">
        <v>443221</v>
      </c>
      <c r="E12" s="16" t="n">
        <v>762</v>
      </c>
      <c r="F12" s="16" t="n">
        <v>803</v>
      </c>
      <c r="G12" s="16" t="n">
        <v>126</v>
      </c>
      <c r="H12" s="16" t="n">
        <v>137</v>
      </c>
      <c r="I12" s="18" t="n">
        <v>181.2</v>
      </c>
      <c r="J12" s="18" t="n">
        <v>16.5</v>
      </c>
    </row>
    <row r="13" customFormat="false" ht="21.75" hidden="false" customHeight="true" outlineLevel="0" collapsed="false">
      <c r="B13" s="8" t="n">
        <v>3549805</v>
      </c>
      <c r="C13" s="5" t="s">
        <v>268</v>
      </c>
      <c r="D13" s="9" t="n">
        <v>480393</v>
      </c>
      <c r="E13" s="10" t="n">
        <v>656</v>
      </c>
      <c r="F13" s="10" t="n">
        <v>671</v>
      </c>
      <c r="G13" s="10" t="n">
        <v>56</v>
      </c>
      <c r="H13" s="10" t="n">
        <v>58</v>
      </c>
      <c r="I13" s="12" t="n">
        <v>139.7</v>
      </c>
      <c r="J13" s="12" t="n">
        <v>8.5</v>
      </c>
    </row>
    <row r="14" customFormat="false" ht="21.75" hidden="false" customHeight="true" outlineLevel="0" collapsed="false">
      <c r="B14" s="14" t="n">
        <v>3530607</v>
      </c>
      <c r="C14" s="6" t="s">
        <v>269</v>
      </c>
      <c r="D14" s="15" t="n">
        <v>451505</v>
      </c>
      <c r="E14" s="16" t="n">
        <v>621</v>
      </c>
      <c r="F14" s="16" t="n">
        <v>662</v>
      </c>
      <c r="G14" s="16" t="n">
        <v>47</v>
      </c>
      <c r="H14" s="16" t="n">
        <v>54</v>
      </c>
      <c r="I14" s="18" t="n">
        <v>146.6</v>
      </c>
      <c r="J14" s="18" t="n">
        <v>7.6</v>
      </c>
    </row>
    <row r="15" customFormat="false" ht="21.75" hidden="false" customHeight="true" outlineLevel="0" collapsed="false">
      <c r="B15" s="8" t="n">
        <v>3538709</v>
      </c>
      <c r="C15" s="5" t="s">
        <v>270</v>
      </c>
      <c r="D15" s="9" t="n">
        <v>423323</v>
      </c>
      <c r="E15" s="10" t="n">
        <v>596</v>
      </c>
      <c r="F15" s="10" t="n">
        <v>632</v>
      </c>
      <c r="G15" s="10" t="n">
        <v>76</v>
      </c>
      <c r="H15" s="10" t="n">
        <v>84</v>
      </c>
      <c r="I15" s="12" t="n">
        <v>149.3</v>
      </c>
      <c r="J15" s="12" t="n">
        <v>12.8</v>
      </c>
    </row>
    <row r="16" customFormat="false" ht="21.75" hidden="false" customHeight="true" outlineLevel="0" collapsed="false">
      <c r="B16" s="14" t="n">
        <v>3534401</v>
      </c>
      <c r="C16" s="6" t="s">
        <v>271</v>
      </c>
      <c r="D16" s="15" t="n">
        <v>728615</v>
      </c>
      <c r="E16" s="16" t="n">
        <v>602</v>
      </c>
      <c r="F16" s="16" t="n">
        <v>623</v>
      </c>
      <c r="G16" s="16" t="n">
        <v>91</v>
      </c>
      <c r="H16" s="16" t="n">
        <v>99</v>
      </c>
      <c r="I16" s="18" t="n">
        <v>85.5</v>
      </c>
      <c r="J16" s="18" t="n">
        <v>15.1</v>
      </c>
    </row>
    <row r="17" customFormat="false" ht="21.75" hidden="false" customHeight="true" outlineLevel="0" collapsed="false">
      <c r="B17" s="8" t="n">
        <v>3547809</v>
      </c>
      <c r="C17" s="5" t="s">
        <v>272</v>
      </c>
      <c r="D17" s="9" t="n">
        <v>748919</v>
      </c>
      <c r="E17" s="10" t="n">
        <v>525</v>
      </c>
      <c r="F17" s="10" t="n">
        <v>540</v>
      </c>
      <c r="G17" s="10" t="n">
        <v>36</v>
      </c>
      <c r="H17" s="10" t="n">
        <v>36</v>
      </c>
      <c r="I17" s="12" t="n">
        <v>72.1</v>
      </c>
      <c r="J17" s="12" t="n">
        <v>6.9</v>
      </c>
    </row>
    <row r="18" customFormat="false" ht="21.75" hidden="false" customHeight="true" outlineLevel="0" collapsed="false">
      <c r="B18" s="14" t="n">
        <v>3526902</v>
      </c>
      <c r="C18" s="6" t="s">
        <v>273</v>
      </c>
      <c r="D18" s="15" t="n">
        <v>291869</v>
      </c>
      <c r="E18" s="16" t="n">
        <v>512</v>
      </c>
      <c r="F18" s="16" t="n">
        <v>536</v>
      </c>
      <c r="G18" s="16" t="n">
        <v>65</v>
      </c>
      <c r="H18" s="16" t="n">
        <v>69</v>
      </c>
      <c r="I18" s="18" t="n">
        <v>183.6</v>
      </c>
      <c r="J18" s="18" t="n">
        <v>12.7</v>
      </c>
    </row>
    <row r="19" customFormat="false" ht="21.75" hidden="false" customHeight="true" outlineLevel="0" collapsed="false">
      <c r="B19" s="8" t="n">
        <v>3541000</v>
      </c>
      <c r="C19" s="5" t="s">
        <v>274</v>
      </c>
      <c r="D19" s="9" t="n">
        <v>349935</v>
      </c>
      <c r="E19" s="10" t="n">
        <v>500</v>
      </c>
      <c r="F19" s="10" t="n">
        <v>505</v>
      </c>
      <c r="G19" s="10" t="n">
        <v>29</v>
      </c>
      <c r="H19" s="10" t="n">
        <v>30</v>
      </c>
      <c r="I19" s="12" t="n">
        <v>144.3</v>
      </c>
      <c r="J19" s="12" t="n">
        <v>5.8</v>
      </c>
    </row>
    <row r="20" customFormat="false" ht="21.75" hidden="false" customHeight="true" outlineLevel="0" collapsed="false">
      <c r="B20" s="14" t="n">
        <v>3548500</v>
      </c>
      <c r="C20" s="6" t="s">
        <v>275</v>
      </c>
      <c r="D20" s="15" t="n">
        <v>418608</v>
      </c>
      <c r="E20" s="16" t="n">
        <v>475</v>
      </c>
      <c r="F20" s="16" t="n">
        <v>490</v>
      </c>
      <c r="G20" s="16" t="n">
        <v>105</v>
      </c>
      <c r="H20" s="16" t="n">
        <v>108</v>
      </c>
      <c r="I20" s="18" t="n">
        <v>117.1</v>
      </c>
      <c r="J20" s="18" t="n">
        <v>22.1</v>
      </c>
    </row>
    <row r="21" customFormat="false" ht="21.75" hidden="false" customHeight="true" outlineLevel="0" collapsed="false">
      <c r="B21" s="8" t="n">
        <v>3506003</v>
      </c>
      <c r="C21" s="5" t="s">
        <v>276</v>
      </c>
      <c r="D21" s="9" t="n">
        <v>379146</v>
      </c>
      <c r="E21" s="10" t="n">
        <v>446</v>
      </c>
      <c r="F21" s="10" t="n">
        <v>466</v>
      </c>
      <c r="G21" s="10" t="n">
        <v>50</v>
      </c>
      <c r="H21" s="10" t="n">
        <v>53</v>
      </c>
      <c r="I21" s="12" t="n">
        <v>122.9</v>
      </c>
      <c r="J21" s="12" t="n">
        <v>11.2</v>
      </c>
    </row>
    <row r="22" customFormat="false" ht="21.75" hidden="false" customHeight="true" outlineLevel="0" collapsed="false">
      <c r="B22" s="14" t="n">
        <v>3551009</v>
      </c>
      <c r="C22" s="6" t="s">
        <v>277</v>
      </c>
      <c r="D22" s="15" t="n">
        <v>329911</v>
      </c>
      <c r="E22" s="16" t="n">
        <v>441</v>
      </c>
      <c r="F22" s="16" t="n">
        <v>459</v>
      </c>
      <c r="G22" s="16" t="n">
        <v>36</v>
      </c>
      <c r="H22" s="16" t="n">
        <v>40</v>
      </c>
      <c r="I22" s="18" t="n">
        <v>139.1</v>
      </c>
      <c r="J22" s="18" t="n">
        <v>8.2</v>
      </c>
    </row>
    <row r="23" customFormat="false" ht="21.75" hidden="false" customHeight="true" outlineLevel="0" collapsed="false">
      <c r="B23" s="8" t="n">
        <v>3516200</v>
      </c>
      <c r="C23" s="5" t="s">
        <v>278</v>
      </c>
      <c r="D23" s="9" t="n">
        <v>352536</v>
      </c>
      <c r="E23" s="10" t="n">
        <v>434</v>
      </c>
      <c r="F23" s="10" t="n">
        <v>452</v>
      </c>
      <c r="G23" s="10" t="n">
        <v>28</v>
      </c>
      <c r="H23" s="10" t="n">
        <v>31</v>
      </c>
      <c r="I23" s="12" t="n">
        <v>128.2</v>
      </c>
      <c r="J23" s="12" t="n">
        <v>6.5</v>
      </c>
    </row>
    <row r="24" customFormat="false" ht="21.75" hidden="false" customHeight="true" outlineLevel="0" collapsed="false">
      <c r="B24" s="14" t="n">
        <v>3554102</v>
      </c>
      <c r="C24" s="6" t="s">
        <v>279</v>
      </c>
      <c r="D24" s="15" t="n">
        <v>310739</v>
      </c>
      <c r="E24" s="16" t="n">
        <v>432</v>
      </c>
      <c r="F24" s="16" t="n">
        <v>451</v>
      </c>
      <c r="G24" s="16" t="n">
        <v>48</v>
      </c>
      <c r="H24" s="16" t="n">
        <v>53</v>
      </c>
      <c r="I24" s="18" t="n">
        <v>145.1</v>
      </c>
      <c r="J24" s="18" t="n">
        <v>11.1</v>
      </c>
    </row>
    <row r="25" customFormat="false" ht="21.75" hidden="false" customHeight="true" outlineLevel="0" collapsed="false">
      <c r="B25" s="8" t="n">
        <v>3523107</v>
      </c>
      <c r="C25" s="5" t="s">
        <v>280</v>
      </c>
      <c r="D25" s="9" t="n">
        <v>369275</v>
      </c>
      <c r="E25" s="10" t="n">
        <v>392</v>
      </c>
      <c r="F25" s="10" t="n">
        <v>416</v>
      </c>
      <c r="G25" s="10" t="n">
        <v>37</v>
      </c>
      <c r="H25" s="10" t="n">
        <v>44</v>
      </c>
      <c r="I25" s="12" t="n">
        <v>112.7</v>
      </c>
      <c r="J25" s="12" t="n">
        <v>9.4</v>
      </c>
    </row>
    <row r="26" customFormat="false" ht="21.75" hidden="false" customHeight="true" outlineLevel="0" collapsed="false">
      <c r="B26" s="14" t="n">
        <v>3523909</v>
      </c>
      <c r="C26" s="6" t="s">
        <v>281</v>
      </c>
      <c r="D26" s="15" t="n">
        <v>168240</v>
      </c>
      <c r="E26" s="16" t="n">
        <v>390</v>
      </c>
      <c r="F26" s="16" t="n">
        <v>413</v>
      </c>
      <c r="G26" s="16" t="n">
        <v>65</v>
      </c>
      <c r="H26" s="16" t="n">
        <v>69</v>
      </c>
      <c r="I26" s="18" t="n">
        <v>245.5</v>
      </c>
      <c r="J26" s="18" t="n">
        <v>16.7</v>
      </c>
    </row>
    <row r="27" customFormat="false" ht="21.75" hidden="false" customHeight="true" outlineLevel="0" collapsed="false">
      <c r="B27" s="8" t="n">
        <v>3505708</v>
      </c>
      <c r="C27" s="5" t="s">
        <v>282</v>
      </c>
      <c r="D27" s="9" t="n">
        <v>316473</v>
      </c>
      <c r="E27" s="10" t="n">
        <v>380</v>
      </c>
      <c r="F27" s="10" t="n">
        <v>395</v>
      </c>
      <c r="G27" s="10" t="n">
        <v>62</v>
      </c>
      <c r="H27" s="10" t="n">
        <v>67</v>
      </c>
      <c r="I27" s="12" t="n">
        <v>124.8</v>
      </c>
      <c r="J27" s="12" t="n">
        <v>16.3</v>
      </c>
    </row>
    <row r="28" customFormat="false" ht="21.75" hidden="false" customHeight="true" outlineLevel="0" collapsed="false">
      <c r="B28" s="14" t="n">
        <v>3503208</v>
      </c>
      <c r="C28" s="6" t="s">
        <v>283</v>
      </c>
      <c r="D28" s="15" t="n">
        <v>242228</v>
      </c>
      <c r="E28" s="16" t="n">
        <v>357</v>
      </c>
      <c r="F28" s="16" t="n">
        <v>390</v>
      </c>
      <c r="G28" s="16" t="n">
        <v>60</v>
      </c>
      <c r="H28" s="16" t="n">
        <v>65</v>
      </c>
      <c r="I28" s="18" t="n">
        <v>161</v>
      </c>
      <c r="J28" s="18" t="n">
        <v>16.8</v>
      </c>
    </row>
    <row r="29" customFormat="false" ht="21.75" hidden="false" customHeight="true" outlineLevel="0" collapsed="false">
      <c r="B29" s="8" t="n">
        <v>3518701</v>
      </c>
      <c r="C29" s="5" t="s">
        <v>284</v>
      </c>
      <c r="D29" s="9" t="n">
        <v>287634</v>
      </c>
      <c r="E29" s="10" t="n">
        <v>370</v>
      </c>
      <c r="F29" s="10" t="n">
        <v>385</v>
      </c>
      <c r="G29" s="10" t="n">
        <v>42</v>
      </c>
      <c r="H29" s="10" t="n">
        <v>46</v>
      </c>
      <c r="I29" s="12" t="n">
        <v>133.9</v>
      </c>
      <c r="J29" s="12" t="n">
        <v>11.4</v>
      </c>
    </row>
    <row r="30" customFormat="false" ht="21.75" hidden="false" customHeight="true" outlineLevel="0" collapsed="false">
      <c r="B30" s="14" t="n">
        <v>3513801</v>
      </c>
      <c r="C30" s="6" t="s">
        <v>285</v>
      </c>
      <c r="D30" s="15" t="n">
        <v>393237</v>
      </c>
      <c r="E30" s="16" t="n">
        <v>370</v>
      </c>
      <c r="F30" s="16" t="n">
        <v>381</v>
      </c>
      <c r="G30" s="16" t="n">
        <v>35</v>
      </c>
      <c r="H30" s="16" t="n">
        <v>35</v>
      </c>
      <c r="I30" s="18" t="n">
        <v>96.9</v>
      </c>
      <c r="J30" s="18" t="n">
        <v>9.5</v>
      </c>
    </row>
    <row r="31" customFormat="false" ht="21.75" hidden="false" customHeight="true" outlineLevel="0" collapsed="false">
      <c r="B31" s="8" t="n">
        <v>3507605</v>
      </c>
      <c r="C31" s="5" t="s">
        <v>286</v>
      </c>
      <c r="D31" s="9" t="n">
        <v>176811</v>
      </c>
      <c r="E31" s="10" t="n">
        <v>349</v>
      </c>
      <c r="F31" s="10" t="n">
        <v>370</v>
      </c>
      <c r="G31" s="10" t="n">
        <v>53</v>
      </c>
      <c r="H31" s="10" t="n">
        <v>57</v>
      </c>
      <c r="I31" s="12" t="n">
        <v>209.3</v>
      </c>
      <c r="J31" s="12" t="n">
        <v>15.2</v>
      </c>
    </row>
    <row r="32" customFormat="false" ht="21.75" hidden="false" customHeight="true" outlineLevel="0" collapsed="false">
      <c r="B32" s="14" t="n">
        <v>3513009</v>
      </c>
      <c r="C32" s="6" t="s">
        <v>287</v>
      </c>
      <c r="D32" s="15" t="n">
        <v>274413</v>
      </c>
      <c r="E32" s="16" t="n">
        <v>352</v>
      </c>
      <c r="F32" s="16" t="n">
        <v>367</v>
      </c>
      <c r="G32" s="16" t="n">
        <v>32</v>
      </c>
      <c r="H32" s="16" t="n">
        <v>36</v>
      </c>
      <c r="I32" s="18" t="n">
        <v>133.7</v>
      </c>
      <c r="J32" s="18" t="n">
        <v>9.1</v>
      </c>
    </row>
    <row r="33" customFormat="false" ht="21.75" hidden="false" customHeight="true" outlineLevel="0" collapsed="false">
      <c r="B33" s="8" t="n">
        <v>3524402</v>
      </c>
      <c r="C33" s="5" t="s">
        <v>288</v>
      </c>
      <c r="D33" s="9" t="n">
        <v>240275</v>
      </c>
      <c r="E33" s="10" t="n">
        <v>340</v>
      </c>
      <c r="F33" s="10" t="n">
        <v>364</v>
      </c>
      <c r="G33" s="10" t="n">
        <v>54</v>
      </c>
      <c r="H33" s="10" t="n">
        <v>59</v>
      </c>
      <c r="I33" s="12" t="n">
        <v>151.5</v>
      </c>
      <c r="J33" s="12" t="n">
        <v>15.9</v>
      </c>
    </row>
    <row r="34" customFormat="false" ht="21.75" hidden="false" customHeight="true" outlineLevel="0" collapsed="false">
      <c r="B34" s="14" t="n">
        <v>3552403</v>
      </c>
      <c r="C34" s="6" t="s">
        <v>289</v>
      </c>
      <c r="D34" s="15" t="n">
        <v>279545</v>
      </c>
      <c r="E34" s="16" t="n">
        <v>333</v>
      </c>
      <c r="F34" s="16" t="n">
        <v>346</v>
      </c>
      <c r="G34" s="16" t="n">
        <v>45</v>
      </c>
      <c r="H34" s="16" t="n">
        <v>48</v>
      </c>
      <c r="I34" s="18" t="n">
        <v>123.8</v>
      </c>
      <c r="J34" s="18" t="n">
        <v>13.5</v>
      </c>
    </row>
    <row r="35" customFormat="false" ht="21.75" hidden="false" customHeight="true" outlineLevel="0" collapsed="false">
      <c r="B35" s="8" t="n">
        <v>3548906</v>
      </c>
      <c r="C35" s="5" t="s">
        <v>290</v>
      </c>
      <c r="D35" s="9" t="n">
        <v>254857</v>
      </c>
      <c r="E35" s="10" t="n">
        <v>324</v>
      </c>
      <c r="F35" s="10" t="n">
        <v>344</v>
      </c>
      <c r="G35" s="10" t="n">
        <v>49</v>
      </c>
      <c r="H35" s="10" t="n">
        <v>58</v>
      </c>
      <c r="I35" s="12" t="n">
        <v>135</v>
      </c>
      <c r="J35" s="12" t="n">
        <v>15.1</v>
      </c>
    </row>
    <row r="36" customFormat="false" ht="21.75" hidden="false" customHeight="true" outlineLevel="0" collapsed="false">
      <c r="B36" s="14" t="n">
        <v>3538006</v>
      </c>
      <c r="C36" s="6" t="s">
        <v>291</v>
      </c>
      <c r="D36" s="15" t="n">
        <v>165428</v>
      </c>
      <c r="E36" s="16" t="n">
        <v>304</v>
      </c>
      <c r="F36" s="16" t="n">
        <v>340</v>
      </c>
      <c r="G36" s="16" t="n">
        <v>60</v>
      </c>
      <c r="H36" s="16" t="n">
        <v>68</v>
      </c>
      <c r="I36" s="18" t="n">
        <v>205.5</v>
      </c>
      <c r="J36" s="18" t="n">
        <v>19.7</v>
      </c>
    </row>
    <row r="37" customFormat="false" ht="21.75" hidden="false" customHeight="true" outlineLevel="0" collapsed="false">
      <c r="B37" s="8" t="n">
        <v>3522307</v>
      </c>
      <c r="C37" s="5" t="s">
        <v>292</v>
      </c>
      <c r="D37" s="9" t="n">
        <v>157790</v>
      </c>
      <c r="E37" s="10" t="n">
        <v>302</v>
      </c>
      <c r="F37" s="10" t="n">
        <v>331</v>
      </c>
      <c r="G37" s="10" t="n">
        <v>41</v>
      </c>
      <c r="H37" s="10" t="n">
        <v>47</v>
      </c>
      <c r="I37" s="12" t="n">
        <v>209.8</v>
      </c>
      <c r="J37" s="12" t="n">
        <v>13.6</v>
      </c>
    </row>
    <row r="38" customFormat="false" ht="21.75" hidden="false" customHeight="true" outlineLevel="0" collapsed="false">
      <c r="B38" s="14" t="n">
        <v>3529005</v>
      </c>
      <c r="C38" s="6" t="s">
        <v>293</v>
      </c>
      <c r="D38" s="15" t="n">
        <v>237627</v>
      </c>
      <c r="E38" s="16" t="n">
        <v>308</v>
      </c>
      <c r="F38" s="16" t="n">
        <v>326</v>
      </c>
      <c r="G38" s="16" t="n">
        <v>71</v>
      </c>
      <c r="H38" s="16" t="n">
        <v>78</v>
      </c>
      <c r="I38" s="18" t="n">
        <v>137.2</v>
      </c>
      <c r="J38" s="18" t="n">
        <v>23.1</v>
      </c>
    </row>
    <row r="39" customFormat="false" ht="21.75" hidden="false" customHeight="true" outlineLevel="0" collapsed="false">
      <c r="B39" s="8" t="n">
        <v>3504107</v>
      </c>
      <c r="C39" s="5" t="s">
        <v>294</v>
      </c>
      <c r="D39" s="9" t="n">
        <v>158647</v>
      </c>
      <c r="E39" s="10" t="n">
        <v>298</v>
      </c>
      <c r="F39" s="10" t="n">
        <v>312</v>
      </c>
      <c r="G39" s="10" t="n">
        <v>70</v>
      </c>
      <c r="H39" s="10" t="n">
        <v>73</v>
      </c>
      <c r="I39" s="12" t="n">
        <v>196.7</v>
      </c>
      <c r="J39" s="12" t="n">
        <v>23.5</v>
      </c>
    </row>
    <row r="40" customFormat="false" ht="21.75" hidden="false" customHeight="true" outlineLevel="0" collapsed="false">
      <c r="B40" s="14" t="n">
        <v>3502804</v>
      </c>
      <c r="C40" s="6" t="s">
        <v>295</v>
      </c>
      <c r="D40" s="15" t="n">
        <v>200124</v>
      </c>
      <c r="E40" s="16" t="n">
        <v>293</v>
      </c>
      <c r="F40" s="16" t="n">
        <v>307</v>
      </c>
      <c r="G40" s="16" t="n">
        <v>41</v>
      </c>
      <c r="H40" s="16" t="n">
        <v>47</v>
      </c>
      <c r="I40" s="18" t="n">
        <v>153.4</v>
      </c>
      <c r="J40" s="18" t="n">
        <v>14</v>
      </c>
    </row>
    <row r="41" customFormat="false" ht="21.75" hidden="false" customHeight="true" outlineLevel="0" collapsed="false">
      <c r="B41" s="8" t="n">
        <v>3520509</v>
      </c>
      <c r="C41" s="5" t="s">
        <v>296</v>
      </c>
      <c r="D41" s="9" t="n">
        <v>255748</v>
      </c>
      <c r="E41" s="10" t="n">
        <v>287</v>
      </c>
      <c r="F41" s="10" t="n">
        <v>302</v>
      </c>
      <c r="G41" s="10" t="n">
        <v>26</v>
      </c>
      <c r="H41" s="10" t="n">
        <v>28</v>
      </c>
      <c r="I41" s="12" t="n">
        <v>118.1</v>
      </c>
      <c r="J41" s="12" t="n">
        <v>9.1</v>
      </c>
    </row>
    <row r="42" customFormat="false" ht="21.75" hidden="false" customHeight="true" outlineLevel="0" collapsed="false">
      <c r="B42" s="14" t="n">
        <v>3513504</v>
      </c>
      <c r="C42" s="6" t="s">
        <v>297</v>
      </c>
      <c r="D42" s="15" t="n">
        <v>112476</v>
      </c>
      <c r="E42" s="16" t="n">
        <v>290</v>
      </c>
      <c r="F42" s="16" t="n">
        <v>300</v>
      </c>
      <c r="G42" s="16" t="n">
        <v>80</v>
      </c>
      <c r="H42" s="16" t="n">
        <v>84</v>
      </c>
      <c r="I42" s="18" t="n">
        <v>266.7</v>
      </c>
      <c r="J42" s="18" t="n">
        <v>27.6</v>
      </c>
    </row>
    <row r="43" customFormat="false" ht="21.75" hidden="false" customHeight="true" outlineLevel="0" collapsed="false">
      <c r="B43" s="8" t="n">
        <v>3543907</v>
      </c>
      <c r="C43" s="5" t="s">
        <v>298</v>
      </c>
      <c r="D43" s="9" t="n">
        <v>201418</v>
      </c>
      <c r="E43" s="10" t="n">
        <v>284</v>
      </c>
      <c r="F43" s="10" t="n">
        <v>296</v>
      </c>
      <c r="G43" s="10" t="n">
        <v>42</v>
      </c>
      <c r="H43" s="10" t="n">
        <v>42</v>
      </c>
      <c r="I43" s="12" t="n">
        <v>147</v>
      </c>
      <c r="J43" s="12" t="n">
        <v>14.8</v>
      </c>
    </row>
    <row r="44" customFormat="false" ht="21.75" hidden="false" customHeight="true" outlineLevel="0" collapsed="false">
      <c r="B44" s="14" t="n">
        <v>3529401</v>
      </c>
      <c r="C44" s="6" t="s">
        <v>299</v>
      </c>
      <c r="D44" s="15" t="n">
        <v>418261</v>
      </c>
      <c r="E44" s="16" t="n">
        <v>276</v>
      </c>
      <c r="F44" s="16" t="n">
        <v>286</v>
      </c>
      <c r="G44" s="16" t="n">
        <v>36</v>
      </c>
      <c r="H44" s="16" t="n">
        <v>38</v>
      </c>
      <c r="I44" s="18" t="n">
        <v>68.4</v>
      </c>
      <c r="J44" s="18" t="n">
        <v>13</v>
      </c>
    </row>
    <row r="45" customFormat="false" ht="21.75" hidden="false" customHeight="true" outlineLevel="0" collapsed="false">
      <c r="B45" s="8" t="n">
        <v>3510609</v>
      </c>
      <c r="C45" s="5" t="s">
        <v>300</v>
      </c>
      <c r="D45" s="9" t="n">
        <v>386984</v>
      </c>
      <c r="E45" s="10" t="n">
        <v>270</v>
      </c>
      <c r="F45" s="10" t="n">
        <v>283</v>
      </c>
      <c r="G45" s="10" t="n">
        <v>18</v>
      </c>
      <c r="H45" s="10" t="n">
        <v>18</v>
      </c>
      <c r="I45" s="12" t="n">
        <v>73.1</v>
      </c>
      <c r="J45" s="12" t="n">
        <v>6.7</v>
      </c>
    </row>
    <row r="46" customFormat="false" ht="21.75" hidden="false" customHeight="true" outlineLevel="0" collapsed="false">
      <c r="B46" s="14" t="n">
        <v>3501608</v>
      </c>
      <c r="C46" s="6" t="s">
        <v>301</v>
      </c>
      <c r="D46" s="15" t="n">
        <v>237240</v>
      </c>
      <c r="E46" s="16" t="n">
        <v>270</v>
      </c>
      <c r="F46" s="16" t="n">
        <v>282</v>
      </c>
      <c r="G46" s="16" t="n">
        <v>44</v>
      </c>
      <c r="H46" s="16" t="n">
        <v>45</v>
      </c>
      <c r="I46" s="18" t="n">
        <v>118.9</v>
      </c>
      <c r="J46" s="18" t="n">
        <v>16.3</v>
      </c>
    </row>
    <row r="47" customFormat="false" ht="21.75" hidden="false" customHeight="true" outlineLevel="0" collapsed="false">
      <c r="B47" s="8" t="n">
        <v>3522208</v>
      </c>
      <c r="C47" s="5" t="s">
        <v>302</v>
      </c>
      <c r="D47" s="9" t="n">
        <v>158522</v>
      </c>
      <c r="E47" s="10" t="n">
        <v>261</v>
      </c>
      <c r="F47" s="10" t="n">
        <v>279</v>
      </c>
      <c r="G47" s="10" t="n">
        <v>47</v>
      </c>
      <c r="H47" s="10" t="n">
        <v>59</v>
      </c>
      <c r="I47" s="12" t="n">
        <v>176</v>
      </c>
      <c r="J47" s="12" t="n">
        <v>18</v>
      </c>
    </row>
    <row r="48" customFormat="false" ht="21.75" hidden="false" customHeight="true" outlineLevel="0" collapsed="false">
      <c r="B48" s="14" t="n">
        <v>3552502</v>
      </c>
      <c r="C48" s="6" t="s">
        <v>303</v>
      </c>
      <c r="D48" s="15" t="n">
        <v>307429</v>
      </c>
      <c r="E48" s="16" t="n">
        <v>263</v>
      </c>
      <c r="F48" s="16" t="n">
        <v>278</v>
      </c>
      <c r="G48" s="16" t="n">
        <v>28</v>
      </c>
      <c r="H48" s="16" t="n">
        <v>30</v>
      </c>
      <c r="I48" s="18" t="n">
        <v>90.4</v>
      </c>
      <c r="J48" s="18" t="n">
        <v>10.6</v>
      </c>
    </row>
    <row r="49" customFormat="false" ht="21.75" hidden="false" customHeight="true" outlineLevel="0" collapsed="false">
      <c r="B49" s="8" t="n">
        <v>3541406</v>
      </c>
      <c r="C49" s="5" t="s">
        <v>304</v>
      </c>
      <c r="D49" s="9" t="n">
        <v>225668</v>
      </c>
      <c r="E49" s="10" t="n">
        <v>271</v>
      </c>
      <c r="F49" s="10" t="n">
        <v>276</v>
      </c>
      <c r="G49" s="10" t="n">
        <v>29</v>
      </c>
      <c r="H49" s="10" t="n">
        <v>30</v>
      </c>
      <c r="I49" s="12" t="n">
        <v>122.3</v>
      </c>
      <c r="J49" s="12" t="n">
        <v>10.7</v>
      </c>
    </row>
    <row r="50" customFormat="false" ht="21.75" hidden="false" customHeight="true" outlineLevel="0" collapsed="false">
      <c r="B50" s="14" t="n">
        <v>3530706</v>
      </c>
      <c r="C50" s="6" t="s">
        <v>305</v>
      </c>
      <c r="D50" s="15" t="n">
        <v>153658</v>
      </c>
      <c r="E50" s="16" t="n">
        <v>257</v>
      </c>
      <c r="F50" s="16" t="n">
        <v>271</v>
      </c>
      <c r="G50" s="16" t="n">
        <v>46</v>
      </c>
      <c r="H50" s="16" t="n">
        <v>54</v>
      </c>
      <c r="I50" s="18" t="n">
        <v>176.4</v>
      </c>
      <c r="J50" s="18" t="n">
        <v>17.9</v>
      </c>
    </row>
    <row r="51" customFormat="false" ht="21.75" hidden="false" customHeight="true" outlineLevel="0" collapsed="false">
      <c r="B51" s="8" t="n">
        <v>3515004</v>
      </c>
      <c r="C51" s="5" t="s">
        <v>306</v>
      </c>
      <c r="D51" s="9" t="n">
        <v>250691</v>
      </c>
      <c r="E51" s="10" t="n">
        <v>259</v>
      </c>
      <c r="F51" s="10" t="n">
        <v>269</v>
      </c>
      <c r="G51" s="10" t="n">
        <v>45</v>
      </c>
      <c r="H51" s="10" t="n">
        <v>48</v>
      </c>
      <c r="I51" s="12" t="n">
        <v>107.3</v>
      </c>
      <c r="J51" s="12" t="n">
        <v>17.4</v>
      </c>
    </row>
    <row r="52" customFormat="false" ht="21.75" hidden="false" customHeight="true" outlineLevel="0" collapsed="false">
      <c r="B52" s="14" t="n">
        <v>3522109</v>
      </c>
      <c r="C52" s="6" t="s">
        <v>307</v>
      </c>
      <c r="D52" s="15" t="n">
        <v>112476</v>
      </c>
      <c r="E52" s="16" t="n">
        <v>250</v>
      </c>
      <c r="F52" s="16" t="n">
        <v>257</v>
      </c>
      <c r="G52" s="16" t="n">
        <v>20</v>
      </c>
      <c r="H52" s="16" t="n">
        <v>21</v>
      </c>
      <c r="I52" s="18" t="n">
        <v>228.5</v>
      </c>
      <c r="J52" s="18" t="n">
        <v>8</v>
      </c>
    </row>
    <row r="53" customFormat="false" ht="21.75" hidden="false" customHeight="true" outlineLevel="0" collapsed="false">
      <c r="B53" s="8" t="n">
        <v>3505500</v>
      </c>
      <c r="C53" s="5" t="s">
        <v>308</v>
      </c>
      <c r="D53" s="9" t="n">
        <v>122485</v>
      </c>
      <c r="E53" s="10" t="n">
        <v>231</v>
      </c>
      <c r="F53" s="10" t="n">
        <v>250</v>
      </c>
      <c r="G53" s="10" t="n">
        <v>48</v>
      </c>
      <c r="H53" s="10" t="n">
        <v>58</v>
      </c>
      <c r="I53" s="12" t="n">
        <v>204.1</v>
      </c>
      <c r="J53" s="12" t="n">
        <v>20.8</v>
      </c>
    </row>
    <row r="54" customFormat="false" ht="21.75" hidden="false" customHeight="true" outlineLevel="0" collapsed="false">
      <c r="B54" s="14" t="n">
        <v>3525300</v>
      </c>
      <c r="C54" s="6" t="s">
        <v>309</v>
      </c>
      <c r="D54" s="15" t="n">
        <v>133497</v>
      </c>
      <c r="E54" s="16" t="n">
        <v>226</v>
      </c>
      <c r="F54" s="16" t="n">
        <v>245</v>
      </c>
      <c r="G54" s="16" t="n">
        <v>40</v>
      </c>
      <c r="H54" s="16" t="n">
        <v>51</v>
      </c>
      <c r="I54" s="18" t="n">
        <v>183.5</v>
      </c>
      <c r="J54" s="18" t="n">
        <v>17.7</v>
      </c>
    </row>
    <row r="55" customFormat="false" ht="25.5" hidden="false" customHeight="true" outlineLevel="0" collapsed="false">
      <c r="B55" s="20" t="s">
        <v>113</v>
      </c>
      <c r="C55" s="20"/>
      <c r="D55" s="20"/>
      <c r="E55" s="21" t="n">
        <f aca="false">SUM(E5:E54)</f>
        <v>32270</v>
      </c>
      <c r="F55" s="21" t="n">
        <f aca="false">SUM(F5:F54)</f>
        <v>33682</v>
      </c>
      <c r="G55" s="21" t="n">
        <f aca="false">SUM(G5:G54)</f>
        <v>3672</v>
      </c>
      <c r="H55" s="21" t="n">
        <f aca="false">SUM(H5:H54)</f>
        <v>3967</v>
      </c>
      <c r="I55" s="20"/>
      <c r="J55" s="20"/>
    </row>
    <row r="57" customFormat="false" ht="15" hidden="false" customHeight="false" outlineLevel="0" collapsed="false">
      <c r="B57" s="7" t="s">
        <v>310</v>
      </c>
    </row>
    <row r="58" customFormat="false" ht="15" hidden="false" customHeight="false" outlineLevel="0" collapsed="false">
      <c r="B58" s="7" t="s">
        <v>311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3"/>
    <col collapsed="false" customWidth="true" hidden="false" outlineLevel="0" max="6" min="6" style="0" width="9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312</v>
      </c>
      <c r="C2" s="1"/>
      <c r="D2" s="1"/>
      <c r="E2" s="1"/>
      <c r="F2" s="1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313</v>
      </c>
      <c r="C4" s="4" t="s">
        <v>128</v>
      </c>
      <c r="D4" s="4" t="s">
        <v>127</v>
      </c>
      <c r="E4" s="4" t="s">
        <v>113</v>
      </c>
      <c r="F4" s="4" t="s">
        <v>259</v>
      </c>
    </row>
    <row r="5" customFormat="false" ht="21.75" hidden="false" customHeight="true" outlineLevel="0" collapsed="false">
      <c r="B5" s="5" t="s">
        <v>314</v>
      </c>
      <c r="C5" s="9" t="n">
        <v>15384</v>
      </c>
      <c r="D5" s="9" t="n">
        <v>5377</v>
      </c>
      <c r="E5" s="9" t="n">
        <v>20761</v>
      </c>
      <c r="F5" s="12" t="n">
        <v>25.9</v>
      </c>
    </row>
    <row r="6" customFormat="false" ht="21.75" hidden="false" customHeight="true" outlineLevel="0" collapsed="false">
      <c r="B6" s="6" t="s">
        <v>315</v>
      </c>
      <c r="C6" s="15" t="n">
        <v>13786</v>
      </c>
      <c r="D6" s="15" t="n">
        <v>1442</v>
      </c>
      <c r="E6" s="15" t="n">
        <v>15228</v>
      </c>
      <c r="F6" s="18" t="n">
        <v>9.5</v>
      </c>
    </row>
    <row r="7" customFormat="false" ht="21.75" hidden="false" customHeight="true" outlineLevel="0" collapsed="false">
      <c r="B7" s="5" t="s">
        <v>201</v>
      </c>
      <c r="C7" s="9" t="n">
        <v>8906</v>
      </c>
      <c r="D7" s="9" t="n">
        <v>1091</v>
      </c>
      <c r="E7" s="9" t="n">
        <v>9997</v>
      </c>
      <c r="F7" s="12" t="n">
        <v>10.9</v>
      </c>
    </row>
    <row r="8" customFormat="false" ht="21.75" hidden="false" customHeight="true" outlineLevel="0" collapsed="false">
      <c r="B8" s="6" t="s">
        <v>316</v>
      </c>
      <c r="C8" s="15" t="n">
        <v>8690</v>
      </c>
      <c r="D8" s="16" t="n">
        <v>814</v>
      </c>
      <c r="E8" s="15" t="n">
        <v>9504</v>
      </c>
      <c r="F8" s="18" t="n">
        <v>8.6</v>
      </c>
    </row>
    <row r="9" customFormat="false" ht="21.75" hidden="false" customHeight="true" outlineLevel="0" collapsed="false">
      <c r="B9" s="5" t="s">
        <v>200</v>
      </c>
      <c r="C9" s="9" t="n">
        <v>1507</v>
      </c>
      <c r="D9" s="10" t="n">
        <v>55</v>
      </c>
      <c r="E9" s="9" t="n">
        <v>1562</v>
      </c>
      <c r="F9" s="12" t="n">
        <v>3.5</v>
      </c>
    </row>
    <row r="10" customFormat="false" ht="25.5" hidden="false" customHeight="true" outlineLevel="0" collapsed="false">
      <c r="B10" s="20" t="s">
        <v>113</v>
      </c>
      <c r="C10" s="21" t="n">
        <f aca="false">SUM(C5:C9)</f>
        <v>48273</v>
      </c>
      <c r="D10" s="21" t="n">
        <f aca="false">SUM(D5:D9)</f>
        <v>8779</v>
      </c>
      <c r="E10" s="21" t="n">
        <f aca="false">SUM(E5:E9)</f>
        <v>57052</v>
      </c>
      <c r="F10" s="20"/>
    </row>
    <row r="12" customFormat="false" ht="15" hidden="false" customHeight="false" outlineLevel="0" collapsed="false">
      <c r="B12" s="7" t="s">
        <v>317</v>
      </c>
    </row>
    <row r="13" customFormat="false" ht="15" hidden="false" customHeight="false" outlineLevel="0" collapsed="false">
      <c r="B13" s="7" t="s">
        <v>318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9" min="3" style="0" width="8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319</v>
      </c>
      <c r="C2" s="1"/>
      <c r="D2" s="1"/>
      <c r="E2" s="1"/>
      <c r="F2" s="1"/>
      <c r="G2" s="1"/>
      <c r="H2" s="1"/>
      <c r="I2" s="1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94</v>
      </c>
      <c r="C4" s="4" t="s">
        <v>320</v>
      </c>
      <c r="D4" s="4" t="s">
        <v>321</v>
      </c>
      <c r="E4" s="4" t="s">
        <v>322</v>
      </c>
      <c r="F4" s="4" t="s">
        <v>323</v>
      </c>
      <c r="G4" s="4" t="s">
        <v>200</v>
      </c>
      <c r="H4" s="4" t="s">
        <v>324</v>
      </c>
      <c r="I4" s="4" t="s">
        <v>325</v>
      </c>
    </row>
    <row r="5" customFormat="false" ht="21.75" hidden="false" customHeight="true" outlineLevel="0" collapsed="false">
      <c r="B5" s="8" t="n">
        <v>2015</v>
      </c>
      <c r="C5" s="9" t="n">
        <v>4377</v>
      </c>
      <c r="D5" s="10" t="n">
        <v>295</v>
      </c>
      <c r="E5" s="9" t="n">
        <v>1028</v>
      </c>
      <c r="F5" s="9" t="n">
        <v>3619</v>
      </c>
      <c r="G5" s="10" t="n">
        <v>0</v>
      </c>
      <c r="H5" s="10" t="n">
        <v>471</v>
      </c>
      <c r="I5" s="10" t="n">
        <v>866</v>
      </c>
    </row>
    <row r="6" customFormat="false" ht="21.75" hidden="false" customHeight="true" outlineLevel="0" collapsed="false">
      <c r="B6" s="14" t="n">
        <v>2016</v>
      </c>
      <c r="C6" s="15" t="n">
        <v>4037</v>
      </c>
      <c r="D6" s="16" t="n">
        <v>341</v>
      </c>
      <c r="E6" s="16" t="n">
        <v>903</v>
      </c>
      <c r="F6" s="15" t="n">
        <v>3414</v>
      </c>
      <c r="G6" s="16" t="n">
        <v>0</v>
      </c>
      <c r="H6" s="16" t="n">
        <v>442</v>
      </c>
      <c r="I6" s="16" t="n">
        <v>626</v>
      </c>
    </row>
    <row r="7" customFormat="false" ht="21.75" hidden="false" customHeight="true" outlineLevel="0" collapsed="false">
      <c r="B7" s="8" t="n">
        <v>2017</v>
      </c>
      <c r="C7" s="9" t="n">
        <v>4005</v>
      </c>
      <c r="D7" s="10" t="n">
        <v>341</v>
      </c>
      <c r="E7" s="10" t="n">
        <v>829</v>
      </c>
      <c r="F7" s="9" t="n">
        <v>3610</v>
      </c>
      <c r="G7" s="10" t="n">
        <v>1</v>
      </c>
      <c r="H7" s="10" t="n">
        <v>416</v>
      </c>
      <c r="I7" s="10" t="n">
        <v>642</v>
      </c>
    </row>
    <row r="8" customFormat="false" ht="21.75" hidden="false" customHeight="true" outlineLevel="0" collapsed="false">
      <c r="B8" s="14" t="n">
        <v>2018</v>
      </c>
      <c r="C8" s="15" t="n">
        <v>2778</v>
      </c>
      <c r="D8" s="16" t="n">
        <v>374</v>
      </c>
      <c r="E8" s="16" t="n">
        <v>824</v>
      </c>
      <c r="F8" s="15" t="n">
        <v>2123</v>
      </c>
      <c r="G8" s="16" t="n">
        <v>0</v>
      </c>
      <c r="H8" s="16" t="n">
        <v>392</v>
      </c>
      <c r="I8" s="16" t="n">
        <v>452</v>
      </c>
    </row>
    <row r="9" customFormat="false" ht="21.75" hidden="false" customHeight="true" outlineLevel="0" collapsed="false">
      <c r="B9" s="8" t="n">
        <v>2019</v>
      </c>
      <c r="C9" s="9" t="n">
        <v>88667</v>
      </c>
      <c r="D9" s="9" t="n">
        <v>4185</v>
      </c>
      <c r="E9" s="9" t="n">
        <v>7658</v>
      </c>
      <c r="F9" s="9" t="n">
        <v>71779</v>
      </c>
      <c r="G9" s="9" t="n">
        <v>30065</v>
      </c>
      <c r="H9" s="9" t="n">
        <v>4892</v>
      </c>
      <c r="I9" s="9" t="n">
        <v>5044</v>
      </c>
    </row>
    <row r="10" customFormat="false" ht="21.75" hidden="false" customHeight="true" outlineLevel="0" collapsed="false">
      <c r="B10" s="14" t="n">
        <v>2020</v>
      </c>
      <c r="C10" s="15" t="n">
        <v>83191</v>
      </c>
      <c r="D10" s="15" t="n">
        <v>4488</v>
      </c>
      <c r="E10" s="15" t="n">
        <v>7751</v>
      </c>
      <c r="F10" s="15" t="n">
        <v>70274</v>
      </c>
      <c r="G10" s="15" t="n">
        <v>25431</v>
      </c>
      <c r="H10" s="15" t="n">
        <v>3486</v>
      </c>
      <c r="I10" s="15" t="n">
        <v>4948</v>
      </c>
    </row>
    <row r="11" customFormat="false" ht="21.75" hidden="false" customHeight="true" outlineLevel="0" collapsed="false">
      <c r="B11" s="8" t="n">
        <v>2021</v>
      </c>
      <c r="C11" s="9" t="n">
        <v>92953</v>
      </c>
      <c r="D11" s="9" t="n">
        <v>5147</v>
      </c>
      <c r="E11" s="9" t="n">
        <v>8335</v>
      </c>
      <c r="F11" s="9" t="n">
        <v>79161</v>
      </c>
      <c r="G11" s="9" t="n">
        <v>28594</v>
      </c>
      <c r="H11" s="9" t="n">
        <v>4049</v>
      </c>
      <c r="I11" s="9" t="n">
        <v>5539</v>
      </c>
    </row>
    <row r="12" customFormat="false" ht="21.75" hidden="false" customHeight="true" outlineLevel="0" collapsed="false">
      <c r="B12" s="14" t="n">
        <v>2022</v>
      </c>
      <c r="C12" s="15" t="n">
        <v>97282</v>
      </c>
      <c r="D12" s="15" t="n">
        <v>5100</v>
      </c>
      <c r="E12" s="15" t="n">
        <v>8191</v>
      </c>
      <c r="F12" s="15" t="n">
        <v>81553</v>
      </c>
      <c r="G12" s="15" t="n">
        <v>26158</v>
      </c>
      <c r="H12" s="15" t="n">
        <v>4884</v>
      </c>
      <c r="I12" s="15" t="n">
        <v>5970</v>
      </c>
    </row>
    <row r="13" customFormat="false" ht="21.75" hidden="false" customHeight="true" outlineLevel="0" collapsed="false">
      <c r="B13" s="8" t="n">
        <v>2023</v>
      </c>
      <c r="C13" s="9" t="n">
        <v>98820</v>
      </c>
      <c r="D13" s="9" t="n">
        <v>5083</v>
      </c>
      <c r="E13" s="9" t="n">
        <v>8631</v>
      </c>
      <c r="F13" s="9" t="n">
        <v>84797</v>
      </c>
      <c r="G13" s="9" t="n">
        <v>36930</v>
      </c>
      <c r="H13" s="9" t="n">
        <v>5100</v>
      </c>
      <c r="I13" s="9" t="n">
        <v>6625</v>
      </c>
    </row>
    <row r="14" customFormat="false" ht="21.75" hidden="false" customHeight="true" outlineLevel="0" collapsed="false">
      <c r="B14" s="14" t="n">
        <v>2024</v>
      </c>
      <c r="C14" s="15" t="n">
        <v>98696</v>
      </c>
      <c r="D14" s="15" t="n">
        <v>4863</v>
      </c>
      <c r="E14" s="15" t="n">
        <v>8526</v>
      </c>
      <c r="F14" s="15" t="n">
        <v>86346</v>
      </c>
      <c r="G14" s="15" t="n">
        <v>26506</v>
      </c>
      <c r="H14" s="15" t="n">
        <v>5136</v>
      </c>
      <c r="I14" s="15" t="n">
        <v>6597</v>
      </c>
    </row>
    <row r="15" customFormat="false" ht="21.75" hidden="false" customHeight="true" outlineLevel="0" collapsed="false">
      <c r="B15" s="8" t="n">
        <v>2025</v>
      </c>
      <c r="C15" s="9" t="n">
        <v>80829</v>
      </c>
      <c r="D15" s="9" t="n">
        <v>3842</v>
      </c>
      <c r="E15" s="9" t="n">
        <v>7283</v>
      </c>
      <c r="F15" s="9" t="n">
        <v>73790</v>
      </c>
      <c r="G15" s="9" t="n">
        <v>5476</v>
      </c>
      <c r="H15" s="9" t="n">
        <v>4439</v>
      </c>
      <c r="I15" s="9" t="n">
        <v>6010</v>
      </c>
    </row>
    <row r="17" customFormat="false" ht="15" hidden="false" customHeight="false" outlineLevel="0" collapsed="false">
      <c r="B17" s="7" t="s">
        <v>326</v>
      </c>
    </row>
    <row r="18" customFormat="false" ht="15" hidden="false" customHeight="false" outlineLevel="0" collapsed="false">
      <c r="B18" s="7" t="s">
        <v>327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31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7" min="6" style="0" width="33"/>
    <col collapsed="false" customWidth="true" hidden="false" outlineLevel="0" max="9" min="8" style="0" width="9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328</v>
      </c>
      <c r="C2" s="1"/>
      <c r="D2" s="1"/>
      <c r="E2" s="1"/>
      <c r="F2" s="1"/>
      <c r="G2" s="1"/>
      <c r="H2" s="1"/>
      <c r="I2" s="1"/>
    </row>
    <row r="3" customFormat="false" ht="7.5" hidden="false" customHeight="true" outlineLevel="0" collapsed="false"/>
    <row r="4" customFormat="false" ht="15" hidden="false" customHeight="false" outlineLevel="0" collapsed="false">
      <c r="B4" s="2" t="s">
        <v>329</v>
      </c>
    </row>
    <row r="5" customFormat="false" ht="27.75" hidden="false" customHeight="true" outlineLevel="0" collapsed="false">
      <c r="B5" s="4" t="s">
        <v>67</v>
      </c>
      <c r="C5" s="4" t="s">
        <v>330</v>
      </c>
      <c r="D5" s="4" t="s">
        <v>96</v>
      </c>
      <c r="E5" s="4" t="s">
        <v>97</v>
      </c>
    </row>
    <row r="6" customFormat="false" ht="21.75" hidden="false" customHeight="true" outlineLevel="0" collapsed="false">
      <c r="B6" s="5" t="s">
        <v>331</v>
      </c>
      <c r="C6" s="9" t="n">
        <v>32140</v>
      </c>
      <c r="D6" s="9" t="n">
        <v>33388</v>
      </c>
      <c r="E6" s="9" t="n">
        <v>2988</v>
      </c>
    </row>
    <row r="7" customFormat="false" ht="21.75" hidden="false" customHeight="true" outlineLevel="0" collapsed="false">
      <c r="B7" s="6" t="s">
        <v>332</v>
      </c>
      <c r="C7" s="15" t="n">
        <v>15148</v>
      </c>
      <c r="D7" s="15" t="n">
        <v>16606</v>
      </c>
      <c r="E7" s="15" t="n">
        <v>4217</v>
      </c>
    </row>
    <row r="8" customFormat="false" ht="21.75" hidden="false" customHeight="true" outlineLevel="0" collapsed="false">
      <c r="B8" s="5" t="s">
        <v>333</v>
      </c>
      <c r="C8" s="9" t="n">
        <v>6434</v>
      </c>
      <c r="D8" s="9" t="n">
        <v>7442</v>
      </c>
      <c r="E8" s="9" t="n">
        <v>1453</v>
      </c>
    </row>
    <row r="9" customFormat="false" ht="21.75" hidden="false" customHeight="true" outlineLevel="0" collapsed="false">
      <c r="B9" s="6" t="s">
        <v>334</v>
      </c>
      <c r="C9" s="15" t="n">
        <v>3236</v>
      </c>
      <c r="D9" s="15" t="n">
        <v>3278</v>
      </c>
      <c r="E9" s="16" t="n">
        <v>114</v>
      </c>
    </row>
    <row r="10" customFormat="false" ht="21.75" hidden="false" customHeight="true" outlineLevel="0" collapsed="false">
      <c r="B10" s="5" t="s">
        <v>335</v>
      </c>
      <c r="C10" s="10" t="n">
        <v>94</v>
      </c>
      <c r="D10" s="10" t="n">
        <v>106</v>
      </c>
      <c r="E10" s="10" t="n">
        <v>7</v>
      </c>
    </row>
    <row r="12" customFormat="false" ht="15" hidden="false" customHeight="false" outlineLevel="0" collapsed="false">
      <c r="B12" s="7" t="s">
        <v>336</v>
      </c>
    </row>
    <row r="15" customFormat="false" ht="15" hidden="false" customHeight="false" outlineLevel="0" collapsed="false">
      <c r="B15" s="2" t="s">
        <v>337</v>
      </c>
    </row>
    <row r="16" customFormat="false" ht="27.75" hidden="false" customHeight="true" outlineLevel="0" collapsed="false">
      <c r="B16" s="4" t="s">
        <v>94</v>
      </c>
      <c r="C16" s="4" t="s">
        <v>338</v>
      </c>
      <c r="D16" s="4" t="s">
        <v>339</v>
      </c>
      <c r="E16" s="4" t="s">
        <v>340</v>
      </c>
      <c r="F16" s="4" t="s">
        <v>341</v>
      </c>
      <c r="G16" s="4" t="s">
        <v>342</v>
      </c>
    </row>
    <row r="17" customFormat="false" ht="21.75" hidden="false" customHeight="true" outlineLevel="0" collapsed="false">
      <c r="B17" s="8" t="n">
        <v>2020</v>
      </c>
      <c r="C17" s="10" t="n">
        <v>35</v>
      </c>
      <c r="D17" s="9" t="n">
        <v>15722</v>
      </c>
      <c r="E17" s="9" t="n">
        <v>14184</v>
      </c>
      <c r="F17" s="9" t="n">
        <v>1537</v>
      </c>
      <c r="G17" s="12" t="n">
        <v>9.8</v>
      </c>
    </row>
    <row r="18" customFormat="false" ht="21.75" hidden="false" customHeight="true" outlineLevel="0" collapsed="false">
      <c r="B18" s="14" t="n">
        <v>2021</v>
      </c>
      <c r="C18" s="16" t="n">
        <v>35</v>
      </c>
      <c r="D18" s="15" t="n">
        <v>17254</v>
      </c>
      <c r="E18" s="15" t="n">
        <v>15583</v>
      </c>
      <c r="F18" s="15" t="n">
        <v>1671</v>
      </c>
      <c r="G18" s="18" t="n">
        <v>9.7</v>
      </c>
    </row>
    <row r="19" customFormat="false" ht="21.75" hidden="false" customHeight="true" outlineLevel="0" collapsed="false">
      <c r="B19" s="8" t="n">
        <v>2022</v>
      </c>
      <c r="C19" s="10" t="n">
        <v>35</v>
      </c>
      <c r="D19" s="9" t="n">
        <v>17711</v>
      </c>
      <c r="E19" s="9" t="n">
        <v>15832</v>
      </c>
      <c r="F19" s="9" t="n">
        <v>1879</v>
      </c>
      <c r="G19" s="12" t="n">
        <v>10.6</v>
      </c>
    </row>
    <row r="20" customFormat="false" ht="21.75" hidden="false" customHeight="true" outlineLevel="0" collapsed="false">
      <c r="B20" s="14" t="n">
        <v>2023</v>
      </c>
      <c r="C20" s="16" t="n">
        <v>33</v>
      </c>
      <c r="D20" s="15" t="n">
        <v>19177</v>
      </c>
      <c r="E20" s="15" t="n">
        <v>16982</v>
      </c>
      <c r="F20" s="15" t="n">
        <v>2195</v>
      </c>
      <c r="G20" s="18" t="n">
        <v>11.4</v>
      </c>
    </row>
    <row r="21" customFormat="false" ht="21.75" hidden="false" customHeight="true" outlineLevel="0" collapsed="false">
      <c r="B21" s="8" t="n">
        <v>2024</v>
      </c>
      <c r="C21" s="10" t="n">
        <v>68</v>
      </c>
      <c r="D21" s="9" t="n">
        <v>13906</v>
      </c>
      <c r="E21" s="9" t="n">
        <v>12023</v>
      </c>
      <c r="F21" s="9" t="n">
        <v>1883</v>
      </c>
      <c r="G21" s="12" t="n">
        <v>13.5</v>
      </c>
    </row>
    <row r="22" customFormat="false" ht="21.75" hidden="false" customHeight="true" outlineLevel="0" collapsed="false">
      <c r="B22" s="14" t="n">
        <v>2025</v>
      </c>
      <c r="C22" s="16" t="n">
        <v>59</v>
      </c>
      <c r="D22" s="15" t="n">
        <v>12472</v>
      </c>
      <c r="E22" s="15" t="n">
        <v>10656</v>
      </c>
      <c r="F22" s="15" t="n">
        <v>1816</v>
      </c>
      <c r="G22" s="18" t="n">
        <v>14.6</v>
      </c>
    </row>
    <row r="24" customFormat="false" ht="15" hidden="false" customHeight="false" outlineLevel="0" collapsed="false">
      <c r="B24" s="7" t="s">
        <v>343</v>
      </c>
    </row>
    <row r="25" customFormat="false" ht="15" hidden="false" customHeight="false" outlineLevel="0" collapsed="false">
      <c r="B25" s="7" t="s">
        <v>344</v>
      </c>
    </row>
    <row r="28" customFormat="false" ht="15" hidden="false" customHeight="false" outlineLevel="0" collapsed="false">
      <c r="B28" s="2" t="s">
        <v>345</v>
      </c>
    </row>
    <row r="29" customFormat="false" ht="27.75" hidden="false" customHeight="true" outlineLevel="0" collapsed="false">
      <c r="B29" s="4" t="s">
        <v>217</v>
      </c>
      <c r="C29" s="4" t="s">
        <v>346</v>
      </c>
      <c r="D29" s="4" t="s">
        <v>347</v>
      </c>
      <c r="E29" s="4" t="s">
        <v>348</v>
      </c>
      <c r="F29" s="4" t="s">
        <v>349</v>
      </c>
      <c r="G29" s="4" t="s">
        <v>350</v>
      </c>
    </row>
    <row r="30" customFormat="false" ht="21.75" hidden="false" customHeight="true" outlineLevel="0" collapsed="false">
      <c r="B30" s="5" t="s">
        <v>351</v>
      </c>
      <c r="C30" s="5" t="s">
        <v>352</v>
      </c>
      <c r="D30" s="5" t="s">
        <v>353</v>
      </c>
      <c r="E30" s="9" t="n">
        <v>84900</v>
      </c>
      <c r="F30" s="9" t="n">
        <v>8171</v>
      </c>
      <c r="G30" s="12" t="n">
        <v>9.6</v>
      </c>
    </row>
    <row r="31" customFormat="false" ht="21.75" hidden="false" customHeight="true" outlineLevel="0" collapsed="false">
      <c r="B31" s="6" t="s">
        <v>354</v>
      </c>
      <c r="C31" s="6" t="s">
        <v>355</v>
      </c>
      <c r="D31" s="6" t="s">
        <v>356</v>
      </c>
      <c r="E31" s="15" t="n">
        <v>35978</v>
      </c>
      <c r="F31" s="15" t="n">
        <v>5821</v>
      </c>
      <c r="G31" s="18" t="n">
        <v>16.2</v>
      </c>
    </row>
    <row r="32" customFormat="false" ht="21.75" hidden="false" customHeight="true" outlineLevel="0" collapsed="false">
      <c r="B32" s="5" t="s">
        <v>357</v>
      </c>
      <c r="C32" s="5" t="s">
        <v>358</v>
      </c>
      <c r="D32" s="5" t="s">
        <v>359</v>
      </c>
      <c r="E32" s="9" t="n">
        <v>18564</v>
      </c>
      <c r="F32" s="9" t="n">
        <v>4690</v>
      </c>
      <c r="G32" s="12" t="n">
        <v>25.3</v>
      </c>
    </row>
    <row r="33" customFormat="false" ht="21.75" hidden="false" customHeight="true" outlineLevel="0" collapsed="false">
      <c r="B33" s="6" t="s">
        <v>360</v>
      </c>
      <c r="C33" s="6" t="s">
        <v>361</v>
      </c>
      <c r="D33" s="6" t="s">
        <v>362</v>
      </c>
      <c r="E33" s="15" t="n">
        <v>46262</v>
      </c>
      <c r="F33" s="15" t="n">
        <v>4449</v>
      </c>
      <c r="G33" s="18" t="n">
        <v>9.6</v>
      </c>
    </row>
    <row r="34" customFormat="false" ht="21.75" hidden="false" customHeight="true" outlineLevel="0" collapsed="false">
      <c r="B34" s="5" t="s">
        <v>363</v>
      </c>
      <c r="C34" s="5" t="s">
        <v>364</v>
      </c>
      <c r="D34" s="5" t="s">
        <v>365</v>
      </c>
      <c r="E34" s="9" t="n">
        <v>15970</v>
      </c>
      <c r="F34" s="9" t="n">
        <v>4378</v>
      </c>
      <c r="G34" s="12" t="n">
        <v>27.4</v>
      </c>
    </row>
    <row r="35" customFormat="false" ht="21.75" hidden="false" customHeight="true" outlineLevel="0" collapsed="false">
      <c r="B35" s="6" t="s">
        <v>363</v>
      </c>
      <c r="C35" s="6" t="s">
        <v>364</v>
      </c>
      <c r="D35" s="6" t="s">
        <v>366</v>
      </c>
      <c r="E35" s="15" t="n">
        <v>19260</v>
      </c>
      <c r="F35" s="15" t="n">
        <v>4219</v>
      </c>
      <c r="G35" s="18" t="n">
        <v>21.9</v>
      </c>
    </row>
    <row r="36" customFormat="false" ht="21.75" hidden="false" customHeight="true" outlineLevel="0" collapsed="false">
      <c r="B36" s="5" t="s">
        <v>367</v>
      </c>
      <c r="C36" s="5" t="s">
        <v>368</v>
      </c>
      <c r="D36" s="5" t="s">
        <v>369</v>
      </c>
      <c r="E36" s="9" t="n">
        <v>50248</v>
      </c>
      <c r="F36" s="9" t="n">
        <v>3821</v>
      </c>
      <c r="G36" s="12" t="n">
        <v>7.6</v>
      </c>
    </row>
    <row r="37" customFormat="false" ht="21.75" hidden="false" customHeight="true" outlineLevel="0" collapsed="false">
      <c r="B37" s="6" t="s">
        <v>367</v>
      </c>
      <c r="C37" s="6" t="s">
        <v>370</v>
      </c>
      <c r="D37" s="6" t="s">
        <v>371</v>
      </c>
      <c r="E37" s="15" t="n">
        <v>44949</v>
      </c>
      <c r="F37" s="15" t="n">
        <v>3803</v>
      </c>
      <c r="G37" s="18" t="n">
        <v>8.5</v>
      </c>
    </row>
    <row r="38" customFormat="false" ht="21.75" hidden="false" customHeight="true" outlineLevel="0" collapsed="false">
      <c r="B38" s="5" t="s">
        <v>351</v>
      </c>
      <c r="C38" s="5" t="s">
        <v>352</v>
      </c>
      <c r="D38" s="5" t="s">
        <v>372</v>
      </c>
      <c r="E38" s="9" t="n">
        <v>11908</v>
      </c>
      <c r="F38" s="9" t="n">
        <v>3614</v>
      </c>
      <c r="G38" s="12" t="n">
        <v>30.3</v>
      </c>
    </row>
    <row r="39" customFormat="false" ht="21.75" hidden="false" customHeight="true" outlineLevel="0" collapsed="false">
      <c r="B39" s="6" t="s">
        <v>363</v>
      </c>
      <c r="C39" s="6" t="s">
        <v>364</v>
      </c>
      <c r="D39" s="6" t="s">
        <v>373</v>
      </c>
      <c r="E39" s="15" t="n">
        <v>12154</v>
      </c>
      <c r="F39" s="15" t="n">
        <v>3459</v>
      </c>
      <c r="G39" s="18" t="n">
        <v>28.5</v>
      </c>
    </row>
    <row r="42" customFormat="false" ht="15" hidden="false" customHeight="false" outlineLevel="0" collapsed="false">
      <c r="B42" s="2" t="s">
        <v>374</v>
      </c>
    </row>
    <row r="43" customFormat="false" ht="27.75" hidden="false" customHeight="true" outlineLevel="0" collapsed="false">
      <c r="B43" s="4" t="s">
        <v>94</v>
      </c>
      <c r="C43" s="4" t="s">
        <v>375</v>
      </c>
      <c r="D43" s="4" t="s">
        <v>376</v>
      </c>
      <c r="E43" s="4" t="s">
        <v>96</v>
      </c>
      <c r="F43" s="4" t="s">
        <v>120</v>
      </c>
      <c r="G43" s="4" t="s">
        <v>121</v>
      </c>
    </row>
    <row r="44" customFormat="false" ht="21.75" hidden="false" customHeight="true" outlineLevel="0" collapsed="false">
      <c r="B44" s="8" t="n">
        <v>2023</v>
      </c>
      <c r="C44" s="9" t="n">
        <v>14389</v>
      </c>
      <c r="D44" s="10" t="n">
        <v>662</v>
      </c>
      <c r="E44" s="10" t="n">
        <v>744</v>
      </c>
      <c r="F44" s="9" t="n">
        <v>2663</v>
      </c>
      <c r="G44" s="9" t="n">
        <v>9669</v>
      </c>
    </row>
    <row r="45" customFormat="false" ht="21.75" hidden="false" customHeight="true" outlineLevel="0" collapsed="false">
      <c r="B45" s="14" t="n">
        <v>2024</v>
      </c>
      <c r="C45" s="15" t="n">
        <v>13882</v>
      </c>
      <c r="D45" s="16" t="n">
        <v>695</v>
      </c>
      <c r="E45" s="16" t="n">
        <v>769</v>
      </c>
      <c r="F45" s="15" t="n">
        <v>2628</v>
      </c>
      <c r="G45" s="15" t="n">
        <v>10029</v>
      </c>
    </row>
    <row r="46" customFormat="false" ht="21.75" hidden="false" customHeight="true" outlineLevel="0" collapsed="false">
      <c r="B46" s="8" t="n">
        <v>2025</v>
      </c>
      <c r="C46" s="9" t="n">
        <v>13599</v>
      </c>
      <c r="D46" s="10" t="n">
        <v>565</v>
      </c>
      <c r="E46" s="10" t="n">
        <v>671</v>
      </c>
      <c r="F46" s="9" t="n">
        <v>1627</v>
      </c>
      <c r="G46" s="9" t="n">
        <v>7023</v>
      </c>
    </row>
    <row r="48" customFormat="false" ht="15" hidden="false" customHeight="false" outlineLevel="0" collapsed="false">
      <c r="B48" s="7" t="s">
        <v>377</v>
      </c>
    </row>
    <row r="49" customFormat="false" ht="15" hidden="false" customHeight="false" outlineLevel="0" collapsed="false">
      <c r="B49" s="7" t="s">
        <v>378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6" min="3" style="0" width="45"/>
    <col collapsed="false" customWidth="true" hidden="false" outlineLevel="0" max="7" min="7" style="0" width="1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379</v>
      </c>
      <c r="C2" s="1"/>
      <c r="D2" s="1"/>
      <c r="E2" s="1"/>
      <c r="F2" s="1"/>
      <c r="G2" s="1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380</v>
      </c>
      <c r="C4" s="4" t="s">
        <v>381</v>
      </c>
      <c r="D4" s="4" t="s">
        <v>382</v>
      </c>
      <c r="E4" s="4" t="s">
        <v>383</v>
      </c>
      <c r="F4" s="4" t="s">
        <v>384</v>
      </c>
    </row>
    <row r="5" customFormat="false" ht="42" hidden="false" customHeight="true" outlineLevel="0" collapsed="false">
      <c r="B5" s="26" t="s">
        <v>385</v>
      </c>
      <c r="C5" s="26" t="s">
        <v>386</v>
      </c>
      <c r="D5" s="26" t="s">
        <v>387</v>
      </c>
      <c r="E5" s="26" t="s">
        <v>388</v>
      </c>
      <c r="F5" s="26" t="s">
        <v>389</v>
      </c>
    </row>
    <row r="6" customFormat="false" ht="42" hidden="false" customHeight="true" outlineLevel="0" collapsed="false">
      <c r="B6" s="27" t="s">
        <v>390</v>
      </c>
      <c r="C6" s="27" t="s">
        <v>391</v>
      </c>
      <c r="D6" s="27" t="s">
        <v>392</v>
      </c>
      <c r="E6" s="27" t="s">
        <v>393</v>
      </c>
      <c r="F6" s="27" t="s">
        <v>394</v>
      </c>
    </row>
    <row r="7" customFormat="false" ht="42" hidden="false" customHeight="true" outlineLevel="0" collapsed="false">
      <c r="B7" s="26" t="s">
        <v>395</v>
      </c>
      <c r="C7" s="26" t="s">
        <v>396</v>
      </c>
      <c r="D7" s="26" t="s">
        <v>397</v>
      </c>
      <c r="E7" s="26" t="s">
        <v>398</v>
      </c>
      <c r="F7" s="26" t="s">
        <v>399</v>
      </c>
    </row>
    <row r="8" customFormat="false" ht="42" hidden="false" customHeight="true" outlineLevel="0" collapsed="false">
      <c r="B8" s="27" t="s">
        <v>400</v>
      </c>
      <c r="C8" s="27" t="s">
        <v>401</v>
      </c>
      <c r="D8" s="27" t="s">
        <v>402</v>
      </c>
      <c r="E8" s="27" t="s">
        <v>403</v>
      </c>
      <c r="F8" s="27" t="s">
        <v>404</v>
      </c>
    </row>
    <row r="9" customFormat="false" ht="42" hidden="false" customHeight="true" outlineLevel="0" collapsed="false">
      <c r="B9" s="26" t="s">
        <v>405</v>
      </c>
      <c r="C9" s="26" t="s">
        <v>406</v>
      </c>
      <c r="D9" s="26" t="s">
        <v>407</v>
      </c>
      <c r="E9" s="26" t="s">
        <v>408</v>
      </c>
      <c r="F9" s="26" t="s">
        <v>409</v>
      </c>
    </row>
    <row r="10" customFormat="false" ht="42" hidden="false" customHeight="true" outlineLevel="0" collapsed="false">
      <c r="B10" s="27" t="s">
        <v>410</v>
      </c>
      <c r="C10" s="27" t="s">
        <v>411</v>
      </c>
      <c r="D10" s="27" t="s">
        <v>412</v>
      </c>
      <c r="E10" s="27" t="s">
        <v>413</v>
      </c>
      <c r="F10" s="27" t="s">
        <v>414</v>
      </c>
    </row>
    <row r="11" customFormat="false" ht="42" hidden="false" customHeight="true" outlineLevel="0" collapsed="false">
      <c r="B11" s="26" t="s">
        <v>415</v>
      </c>
      <c r="C11" s="26" t="s">
        <v>416</v>
      </c>
      <c r="D11" s="26" t="s">
        <v>412</v>
      </c>
      <c r="E11" s="26" t="s">
        <v>413</v>
      </c>
      <c r="F11" s="26" t="s">
        <v>417</v>
      </c>
    </row>
    <row r="12" customFormat="false" ht="42" hidden="false" customHeight="true" outlineLevel="0" collapsed="false">
      <c r="B12" s="27" t="s">
        <v>418</v>
      </c>
      <c r="C12" s="27" t="s">
        <v>419</v>
      </c>
      <c r="D12" s="27" t="s">
        <v>412</v>
      </c>
      <c r="E12" s="27" t="s">
        <v>413</v>
      </c>
      <c r="F12" s="27" t="s">
        <v>420</v>
      </c>
    </row>
    <row r="13" customFormat="false" ht="42" hidden="false" customHeight="true" outlineLevel="0" collapsed="false">
      <c r="B13" s="26" t="s">
        <v>421</v>
      </c>
      <c r="C13" s="26" t="s">
        <v>422</v>
      </c>
      <c r="D13" s="26" t="s">
        <v>412</v>
      </c>
      <c r="E13" s="26" t="s">
        <v>413</v>
      </c>
      <c r="F13" s="26" t="s">
        <v>423</v>
      </c>
    </row>
    <row r="14" customFormat="false" ht="42" hidden="false" customHeight="true" outlineLevel="0" collapsed="false">
      <c r="B14" s="27" t="s">
        <v>424</v>
      </c>
      <c r="C14" s="27" t="s">
        <v>425</v>
      </c>
      <c r="D14" s="27" t="s">
        <v>426</v>
      </c>
      <c r="E14" s="27" t="s">
        <v>427</v>
      </c>
      <c r="F14" s="27" t="s">
        <v>428</v>
      </c>
    </row>
    <row r="15" customFormat="false" ht="42" hidden="false" customHeight="true" outlineLevel="0" collapsed="false">
      <c r="B15" s="26" t="s">
        <v>429</v>
      </c>
      <c r="C15" s="26" t="s">
        <v>430</v>
      </c>
      <c r="D15" s="26" t="s">
        <v>431</v>
      </c>
      <c r="E15" s="26" t="s">
        <v>432</v>
      </c>
      <c r="F15" s="26" t="s">
        <v>433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33"/>
    <col collapsed="false" customWidth="true" hidden="false" outlineLevel="0" max="5" min="5" style="0" width="50"/>
    <col collapsed="false" customWidth="true" hidden="false" outlineLevel="0" max="6" min="6" style="0" width="17"/>
    <col collapsed="false" customWidth="true" hidden="false" outlineLevel="0" max="7" min="7" style="0" width="27"/>
    <col collapsed="false" customWidth="true" hidden="false" outlineLevel="0" max="8" min="8" style="0" width="12"/>
    <col collapsed="false" customWidth="true" hidden="false" outlineLevel="0" max="9" min="9" style="0" width="11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434</v>
      </c>
      <c r="C2" s="1"/>
      <c r="D2" s="1"/>
      <c r="E2" s="1"/>
      <c r="F2" s="1"/>
      <c r="G2" s="1"/>
      <c r="H2" s="1"/>
      <c r="I2" s="1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435</v>
      </c>
      <c r="C4" s="4" t="s">
        <v>436</v>
      </c>
      <c r="D4" s="4" t="s">
        <v>437</v>
      </c>
      <c r="E4" s="4" t="s">
        <v>383</v>
      </c>
      <c r="F4" s="4" t="s">
        <v>438</v>
      </c>
      <c r="G4" s="4" t="s">
        <v>439</v>
      </c>
      <c r="H4" s="4" t="s">
        <v>440</v>
      </c>
      <c r="I4" s="4" t="s">
        <v>441</v>
      </c>
    </row>
    <row r="5" customFormat="false" ht="30" hidden="false" customHeight="true" outlineLevel="0" collapsed="false">
      <c r="B5" s="26" t="s">
        <v>442</v>
      </c>
      <c r="C5" s="26" t="s">
        <v>443</v>
      </c>
      <c r="D5" s="26" t="s">
        <v>444</v>
      </c>
      <c r="E5" s="26" t="s">
        <v>445</v>
      </c>
      <c r="F5" s="26" t="s">
        <v>446</v>
      </c>
      <c r="G5" s="26" t="s">
        <v>447</v>
      </c>
      <c r="H5" s="26" t="s">
        <v>448</v>
      </c>
      <c r="I5" s="26" t="s">
        <v>449</v>
      </c>
    </row>
    <row r="6" customFormat="false" ht="30" hidden="false" customHeight="true" outlineLevel="0" collapsed="false">
      <c r="B6" s="27" t="s">
        <v>450</v>
      </c>
      <c r="C6" s="27" t="s">
        <v>443</v>
      </c>
      <c r="D6" s="27" t="s">
        <v>444</v>
      </c>
      <c r="E6" s="27" t="s">
        <v>451</v>
      </c>
      <c r="F6" s="27" t="s">
        <v>446</v>
      </c>
      <c r="G6" s="27" t="s">
        <v>452</v>
      </c>
      <c r="H6" s="27" t="s">
        <v>448</v>
      </c>
      <c r="I6" s="27" t="s">
        <v>449</v>
      </c>
    </row>
    <row r="7" customFormat="false" ht="30" hidden="false" customHeight="true" outlineLevel="0" collapsed="false">
      <c r="B7" s="26" t="s">
        <v>453</v>
      </c>
      <c r="C7" s="26" t="s">
        <v>443</v>
      </c>
      <c r="D7" s="26" t="s">
        <v>444</v>
      </c>
      <c r="E7" s="26" t="s">
        <v>454</v>
      </c>
      <c r="F7" s="26" t="s">
        <v>446</v>
      </c>
      <c r="G7" s="26" t="s">
        <v>455</v>
      </c>
      <c r="H7" s="26" t="s">
        <v>448</v>
      </c>
      <c r="I7" s="26" t="s">
        <v>449</v>
      </c>
    </row>
    <row r="8" customFormat="false" ht="30" hidden="false" customHeight="true" outlineLevel="0" collapsed="false">
      <c r="B8" s="27" t="s">
        <v>456</v>
      </c>
      <c r="C8" s="27" t="s">
        <v>443</v>
      </c>
      <c r="D8" s="27" t="s">
        <v>444</v>
      </c>
      <c r="E8" s="27" t="s">
        <v>432</v>
      </c>
      <c r="F8" s="27" t="s">
        <v>457</v>
      </c>
      <c r="G8" s="27" t="s">
        <v>458</v>
      </c>
      <c r="H8" s="27" t="s">
        <v>448</v>
      </c>
      <c r="I8" s="27" t="s">
        <v>449</v>
      </c>
    </row>
    <row r="9" customFormat="false" ht="30" hidden="false" customHeight="true" outlineLevel="0" collapsed="false">
      <c r="B9" s="26" t="s">
        <v>459</v>
      </c>
      <c r="C9" s="26" t="s">
        <v>460</v>
      </c>
      <c r="D9" s="26" t="s">
        <v>461</v>
      </c>
      <c r="E9" s="26" t="s">
        <v>462</v>
      </c>
      <c r="F9" s="26" t="s">
        <v>463</v>
      </c>
      <c r="G9" s="26" t="s">
        <v>464</v>
      </c>
      <c r="H9" s="26" t="s">
        <v>448</v>
      </c>
      <c r="I9" s="26" t="s">
        <v>465</v>
      </c>
    </row>
    <row r="10" customFormat="false" ht="30" hidden="false" customHeight="true" outlineLevel="0" collapsed="false">
      <c r="B10" s="27" t="s">
        <v>466</v>
      </c>
      <c r="C10" s="27" t="s">
        <v>460</v>
      </c>
      <c r="D10" s="27" t="s">
        <v>467</v>
      </c>
      <c r="E10" s="27" t="s">
        <v>468</v>
      </c>
      <c r="F10" s="27" t="s">
        <v>463</v>
      </c>
      <c r="G10" s="27" t="s">
        <v>469</v>
      </c>
      <c r="H10" s="27" t="s">
        <v>448</v>
      </c>
      <c r="I10" s="27" t="s">
        <v>465</v>
      </c>
    </row>
    <row r="11" customFormat="false" ht="30" hidden="false" customHeight="true" outlineLevel="0" collapsed="false">
      <c r="B11" s="26" t="s">
        <v>470</v>
      </c>
      <c r="C11" s="26" t="s">
        <v>471</v>
      </c>
      <c r="D11" s="26" t="s">
        <v>444</v>
      </c>
      <c r="E11" s="26" t="s">
        <v>472</v>
      </c>
      <c r="F11" s="26" t="s">
        <v>473</v>
      </c>
      <c r="G11" s="26" t="s">
        <v>474</v>
      </c>
      <c r="H11" s="26" t="s">
        <v>448</v>
      </c>
      <c r="I11" s="26" t="s">
        <v>465</v>
      </c>
    </row>
    <row r="12" customFormat="false" ht="30" hidden="false" customHeight="true" outlineLevel="0" collapsed="false">
      <c r="B12" s="27" t="s">
        <v>475</v>
      </c>
      <c r="C12" s="27" t="s">
        <v>471</v>
      </c>
      <c r="D12" s="27" t="s">
        <v>444</v>
      </c>
      <c r="E12" s="27" t="s">
        <v>476</v>
      </c>
      <c r="F12" s="27" t="s">
        <v>477</v>
      </c>
      <c r="G12" s="27" t="s">
        <v>478</v>
      </c>
      <c r="H12" s="27" t="s">
        <v>448</v>
      </c>
      <c r="I12" s="27" t="s">
        <v>465</v>
      </c>
    </row>
    <row r="13" customFormat="false" ht="30" hidden="false" customHeight="true" outlineLevel="0" collapsed="false">
      <c r="B13" s="26" t="s">
        <v>479</v>
      </c>
      <c r="C13" s="26" t="s">
        <v>471</v>
      </c>
      <c r="D13" s="26" t="s">
        <v>444</v>
      </c>
      <c r="E13" s="26" t="s">
        <v>480</v>
      </c>
      <c r="F13" s="26" t="s">
        <v>481</v>
      </c>
      <c r="G13" s="26" t="s">
        <v>482</v>
      </c>
      <c r="H13" s="26" t="s">
        <v>448</v>
      </c>
      <c r="I13" s="26" t="s">
        <v>465</v>
      </c>
    </row>
    <row r="14" customFormat="false" ht="30" hidden="false" customHeight="true" outlineLevel="0" collapsed="false">
      <c r="B14" s="27" t="s">
        <v>483</v>
      </c>
      <c r="C14" s="27" t="s">
        <v>471</v>
      </c>
      <c r="D14" s="27" t="s">
        <v>444</v>
      </c>
      <c r="E14" s="27" t="s">
        <v>484</v>
      </c>
      <c r="F14" s="27" t="s">
        <v>485</v>
      </c>
      <c r="G14" s="27" t="s">
        <v>486</v>
      </c>
      <c r="H14" s="27" t="s">
        <v>448</v>
      </c>
      <c r="I14" s="27" t="s">
        <v>465</v>
      </c>
    </row>
    <row r="15" customFormat="false" ht="30" hidden="false" customHeight="true" outlineLevel="0" collapsed="false">
      <c r="B15" s="26" t="s">
        <v>487</v>
      </c>
      <c r="C15" s="26" t="s">
        <v>488</v>
      </c>
      <c r="D15" s="26" t="s">
        <v>489</v>
      </c>
      <c r="E15" s="26" t="s">
        <v>388</v>
      </c>
      <c r="F15" s="26" t="s">
        <v>490</v>
      </c>
      <c r="G15" s="26" t="s">
        <v>491</v>
      </c>
      <c r="H15" s="26" t="s">
        <v>448</v>
      </c>
      <c r="I15" s="26" t="s">
        <v>492</v>
      </c>
    </row>
    <row r="16" customFormat="false" ht="30" hidden="false" customHeight="true" outlineLevel="0" collapsed="false">
      <c r="B16" s="27" t="s">
        <v>493</v>
      </c>
      <c r="C16" s="27" t="s">
        <v>494</v>
      </c>
      <c r="D16" s="27" t="s">
        <v>495</v>
      </c>
      <c r="E16" s="27" t="s">
        <v>393</v>
      </c>
      <c r="F16" s="27" t="s">
        <v>496</v>
      </c>
      <c r="G16" s="27" t="s">
        <v>497</v>
      </c>
      <c r="H16" s="27" t="s">
        <v>448</v>
      </c>
      <c r="I16" s="27" t="s">
        <v>492</v>
      </c>
    </row>
    <row r="17" customFormat="false" ht="30" hidden="false" customHeight="true" outlineLevel="0" collapsed="false">
      <c r="B17" s="26" t="s">
        <v>498</v>
      </c>
      <c r="C17" s="26" t="s">
        <v>499</v>
      </c>
      <c r="D17" s="26" t="s">
        <v>500</v>
      </c>
      <c r="E17" s="26" t="s">
        <v>403</v>
      </c>
      <c r="F17" s="26" t="s">
        <v>490</v>
      </c>
      <c r="G17" s="26" t="s">
        <v>497</v>
      </c>
      <c r="H17" s="26" t="s">
        <v>448</v>
      </c>
      <c r="I17" s="26" t="s">
        <v>492</v>
      </c>
    </row>
    <row r="18" customFormat="false" ht="30" hidden="false" customHeight="true" outlineLevel="0" collapsed="false">
      <c r="B18" s="27" t="s">
        <v>501</v>
      </c>
      <c r="C18" s="27" t="s">
        <v>502</v>
      </c>
      <c r="D18" s="27" t="s">
        <v>503</v>
      </c>
      <c r="E18" s="27" t="s">
        <v>408</v>
      </c>
      <c r="F18" s="27" t="s">
        <v>504</v>
      </c>
      <c r="G18" s="27" t="s">
        <v>505</v>
      </c>
      <c r="H18" s="27" t="s">
        <v>448</v>
      </c>
      <c r="I18" s="27" t="s">
        <v>492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4" min="4" style="0" width="29"/>
    <col collapsed="false" customWidth="true" hidden="false" outlineLevel="0" max="5" min="5" style="0" width="47"/>
    <col collapsed="false" customWidth="true" hidden="false" outlineLevel="0" max="6" min="6" style="0" width="10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506</v>
      </c>
      <c r="C2" s="1"/>
      <c r="D2" s="1"/>
      <c r="E2" s="1"/>
      <c r="F2" s="1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507</v>
      </c>
      <c r="C4" s="4" t="s">
        <v>508</v>
      </c>
      <c r="D4" s="4" t="s">
        <v>509</v>
      </c>
      <c r="E4" s="4" t="s">
        <v>510</v>
      </c>
    </row>
    <row r="5" customFormat="false" ht="21.75" hidden="false" customHeight="true" outlineLevel="0" collapsed="false">
      <c r="B5" s="5" t="s">
        <v>511</v>
      </c>
      <c r="C5" s="9" t="n">
        <v>57052</v>
      </c>
      <c r="D5" s="5" t="n">
        <f aca="false">SUM(Annual_Series!C5:C15)</f>
        <v>57052</v>
      </c>
      <c r="E5" s="28" t="str">
        <f aca="false">IF(ROUND(C5,0)=ROUND(D5,0),"PASS","CHECK")</f>
        <v>PASS</v>
      </c>
    </row>
    <row r="6" customFormat="false" ht="21.75" hidden="false" customHeight="true" outlineLevel="0" collapsed="false">
      <c r="B6" s="6" t="s">
        <v>512</v>
      </c>
      <c r="C6" s="15" t="n">
        <v>60820</v>
      </c>
      <c r="D6" s="6" t="n">
        <f aca="false">SUM(Annual_Series!D5:D15)</f>
        <v>60820</v>
      </c>
      <c r="E6" s="29" t="str">
        <f aca="false">IF(ROUND(C6,0)=ROUND(D6,0),"PASS","CHECK")</f>
        <v>PASS</v>
      </c>
    </row>
    <row r="7" customFormat="false" ht="21.75" hidden="false" customHeight="true" outlineLevel="0" collapsed="false">
      <c r="B7" s="5" t="s">
        <v>513</v>
      </c>
      <c r="C7" s="9" t="n">
        <v>8779</v>
      </c>
      <c r="D7" s="5" t="n">
        <f aca="false">SUM(Annual_Series!E5:E15)</f>
        <v>8779</v>
      </c>
      <c r="E7" s="28" t="str">
        <f aca="false">IF(ROUND(C7,0)=ROUND(D7,0),"PASS","CHECK")</f>
        <v>PASS</v>
      </c>
    </row>
    <row r="8" customFormat="false" ht="21.75" hidden="false" customHeight="true" outlineLevel="0" collapsed="false">
      <c r="B8" s="6" t="s">
        <v>514</v>
      </c>
      <c r="C8" s="15" t="n">
        <v>9830</v>
      </c>
      <c r="D8" s="6" t="n">
        <f aca="false">SUM(Annual_Series!F5:F15)</f>
        <v>9830</v>
      </c>
      <c r="E8" s="29" t="str">
        <f aca="false">IF(ROUND(C8,0)=ROUND(D8,0),"PASS","CHECK")</f>
        <v>PASS</v>
      </c>
    </row>
    <row r="9" customFormat="false" ht="21.75" hidden="false" customHeight="true" outlineLevel="0" collapsed="false">
      <c r="B9" s="5" t="s">
        <v>515</v>
      </c>
      <c r="C9" s="9" t="n">
        <v>870477</v>
      </c>
      <c r="D9" s="30" t="n">
        <f aca="false">Severity_Spectrum!C5</f>
        <v>870477</v>
      </c>
      <c r="E9" s="28" t="str">
        <f aca="false">IF(ROUND(C9,0)=ROUND(D9,0),"PASS","CHECK")</f>
        <v>PASS</v>
      </c>
    </row>
    <row r="10" customFormat="false" ht="21.75" hidden="false" customHeight="true" outlineLevel="0" collapsed="false">
      <c r="B10" s="6" t="s">
        <v>516</v>
      </c>
      <c r="C10" s="15" t="n">
        <v>35844</v>
      </c>
      <c r="D10" s="31" t="n">
        <f aca="false">Severity_Spectrum!D5</f>
        <v>35844</v>
      </c>
      <c r="E10" s="29" t="str">
        <f aca="false">IF(ROUND(C10,0)=ROUND(D10,0),"PASS","CHECK")</f>
        <v>PASS</v>
      </c>
    </row>
    <row r="11" customFormat="false" ht="21.75" hidden="false" customHeight="true" outlineLevel="0" collapsed="false">
      <c r="B11" s="5" t="s">
        <v>517</v>
      </c>
      <c r="C11" s="9" t="n">
        <v>38107</v>
      </c>
      <c r="D11" s="30" t="n">
        <f aca="false">Severity_Spectrum!E5</f>
        <v>38107</v>
      </c>
      <c r="E11" s="28" t="str">
        <f aca="false">IF(ROUND(C11,0)=ROUND(D11,0),"PASS","CHECK")</f>
        <v>PASS</v>
      </c>
    </row>
    <row r="12" customFormat="false" ht="21.75" hidden="false" customHeight="true" outlineLevel="0" collapsed="false">
      <c r="B12" s="6" t="s">
        <v>518</v>
      </c>
      <c r="C12" s="15" t="n">
        <v>14677</v>
      </c>
      <c r="D12" s="6" t="n">
        <f aca="false">SUM(Corridors!D5:D34)</f>
        <v>14677</v>
      </c>
      <c r="E12" s="29" t="str">
        <f aca="false">IF(ROUND(C12,0)=ROUND(D12,0),"PASS","CHECK")</f>
        <v>PASS</v>
      </c>
    </row>
    <row r="13" customFormat="false" ht="21.75" hidden="false" customHeight="true" outlineLevel="0" collapsed="false">
      <c r="B13" s="5" t="s">
        <v>519</v>
      </c>
      <c r="C13" s="9" t="n">
        <v>33682</v>
      </c>
      <c r="D13" s="5" t="n">
        <f aca="false">SUM(Municipalities!F5:F54)</f>
        <v>33682</v>
      </c>
      <c r="E13" s="28" t="str">
        <f aca="false">IF(ROUND(C13,0)=ROUND(D13,0),"PASS","CHECK")</f>
        <v>PASS</v>
      </c>
    </row>
    <row r="14" customFormat="false" ht="21.75" hidden="false" customHeight="true" outlineLevel="0" collapsed="false">
      <c r="B14" s="6" t="s">
        <v>520</v>
      </c>
      <c r="C14" s="15" t="n">
        <v>868443</v>
      </c>
      <c r="D14" s="31" t="n">
        <f aca="false">Regression_Crash!H5</f>
        <v>868443</v>
      </c>
      <c r="E14" s="29" t="str">
        <f aca="false">IF(ROUND(C14,0)=ROUND(D14,0),"PASS","CHECK")</f>
        <v>PASS</v>
      </c>
    </row>
    <row r="15" customFormat="false" ht="21.75" hidden="false" customHeight="true" outlineLevel="0" collapsed="false">
      <c r="B15" s="5" t="s">
        <v>521</v>
      </c>
      <c r="C15" s="9" t="n">
        <v>1485703</v>
      </c>
      <c r="D15" s="30" t="n">
        <f aca="false">Regression_Person!G5</f>
        <v>1485703</v>
      </c>
      <c r="E15" s="28" t="str">
        <f aca="false">IF(ROUND(C15,0)=ROUND(D15,0),"PASS","CHECK")</f>
        <v>PASS</v>
      </c>
    </row>
    <row r="17" customFormat="false" ht="15" hidden="false" customHeight="false" outlineLevel="0" collapsed="false">
      <c r="B17" s="23" t="s">
        <v>522</v>
      </c>
    </row>
    <row r="18" customFormat="false" ht="15" hidden="false" customHeight="false" outlineLevel="0" collapsed="false">
      <c r="B18" s="23" t="s">
        <v>523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2026-08-26T13:34:11Z</dcterms:created>
  <dc:creator>Z.ai</dc:creator>
  <dc:description/>
  <dc:language>en-US</dc:language>
  <cp:lastModifiedBy/>
  <dcterms:modified xsi:type="dcterms:W3CDTF">2026-08-26T13:34:13Z</dcterms:modified>
  <cp:revision>1</cp:revision>
  <dc:subject/>
  <dc:title>Freight Vehicle Involvement and Crash Severity in São Paulo State (2015–2025)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